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D:\Stepan\Python\work dir\wd\mining_income_statistics\"/>
    </mc:Choice>
  </mc:AlternateContent>
  <xr:revisionPtr revIDLastSave="0" documentId="13_ncr:1_{A447BE6E-9DB2-4BC8-B973-7C054D01DE21}" xr6:coauthVersionLast="37" xr6:coauthVersionMax="37" xr10:uidLastSave="{00000000-0000-0000-0000-000000000000}"/>
  <bookViews>
    <workbookView xWindow="0" yWindow="57150" windowWidth="20490" windowHeight="7140" activeTab="1" xr2:uid="{00000000-000D-0000-FFFF-FFFF00000000}"/>
  </bookViews>
  <sheets>
    <sheet name="January" sheetId="1" r:id="rId1"/>
    <sheet name="February" sheetId="2" r:id="rId2"/>
  </sheets>
  <calcPr calcId="179021" calcMode="manual"/>
</workbook>
</file>

<file path=xl/calcChain.xml><?xml version="1.0" encoding="utf-8"?>
<calcChain xmlns="http://schemas.openxmlformats.org/spreadsheetml/2006/main">
  <c r="K29" i="2" l="1"/>
  <c r="I29" i="2"/>
  <c r="B29" i="2"/>
  <c r="K28" i="2"/>
  <c r="I28" i="2"/>
  <c r="B28" i="2"/>
  <c r="K27" i="2"/>
  <c r="I27" i="2"/>
  <c r="B27" i="2"/>
  <c r="K26" i="2"/>
  <c r="I26" i="2"/>
  <c r="B26" i="2"/>
  <c r="K25" i="2"/>
  <c r="I25" i="2"/>
  <c r="B25" i="2"/>
  <c r="K24" i="2"/>
  <c r="I24" i="2"/>
  <c r="B24" i="2"/>
  <c r="I23" i="2"/>
  <c r="B23" i="2"/>
  <c r="I22" i="2"/>
  <c r="B22" i="2"/>
  <c r="K21" i="2"/>
  <c r="I21" i="2"/>
  <c r="B21" i="2"/>
  <c r="K20" i="2"/>
  <c r="I20" i="2"/>
  <c r="B20" i="2"/>
  <c r="K19" i="2"/>
  <c r="I19" i="2"/>
  <c r="B19" i="2"/>
  <c r="K18" i="2"/>
  <c r="I18" i="2"/>
  <c r="B18" i="2"/>
  <c r="I17" i="2"/>
  <c r="K17" i="2" s="1"/>
  <c r="B17" i="2"/>
  <c r="I16" i="2"/>
  <c r="K16" i="2" s="1"/>
  <c r="B16" i="2"/>
  <c r="I15" i="2"/>
  <c r="K15" i="2" s="1"/>
  <c r="B15" i="2"/>
  <c r="K14" i="2"/>
  <c r="I14" i="2"/>
  <c r="B14" i="2"/>
  <c r="I13" i="2"/>
  <c r="K13" i="2" s="1"/>
  <c r="T5" i="2" s="1"/>
  <c r="B13" i="2"/>
  <c r="K12" i="2"/>
  <c r="I12" i="2"/>
  <c r="B12" i="2"/>
  <c r="K11" i="2"/>
  <c r="I11" i="2"/>
  <c r="B11" i="2"/>
  <c r="K10" i="2"/>
  <c r="I10" i="2"/>
  <c r="B10" i="2"/>
  <c r="K9" i="2"/>
  <c r="I9" i="2"/>
  <c r="B9" i="2"/>
  <c r="K8" i="2"/>
  <c r="I8" i="2"/>
  <c r="B8" i="2"/>
  <c r="V7" i="2"/>
  <c r="U7" i="2"/>
  <c r="T7" i="2"/>
  <c r="K7" i="2"/>
  <c r="U5" i="2" s="1"/>
  <c r="I7" i="2"/>
  <c r="B7" i="2"/>
  <c r="V6" i="2"/>
  <c r="U6" i="2"/>
  <c r="T6" i="2"/>
  <c r="S6" i="2"/>
  <c r="K6" i="2"/>
  <c r="I6" i="2"/>
  <c r="B6" i="2"/>
  <c r="K5" i="2"/>
  <c r="I5" i="2"/>
  <c r="B5" i="2"/>
  <c r="K4" i="2"/>
  <c r="I4" i="2"/>
  <c r="B4" i="2"/>
  <c r="K3" i="2"/>
  <c r="I3" i="2"/>
  <c r="B3" i="2"/>
  <c r="K2" i="2"/>
  <c r="I2" i="2"/>
  <c r="B2" i="2"/>
  <c r="K32" i="1"/>
  <c r="I32" i="1"/>
  <c r="B32" i="1"/>
  <c r="K31" i="1"/>
  <c r="I31" i="1"/>
  <c r="B31" i="1"/>
  <c r="K30" i="1"/>
  <c r="I30" i="1"/>
  <c r="B30" i="1"/>
  <c r="I29" i="1"/>
  <c r="K29" i="1" s="1"/>
  <c r="B29" i="1"/>
  <c r="K28" i="1"/>
  <c r="I28" i="1"/>
  <c r="B28" i="1"/>
  <c r="K27" i="1"/>
  <c r="I27" i="1"/>
  <c r="B27" i="1"/>
  <c r="K26" i="1"/>
  <c r="I26" i="1"/>
  <c r="B26" i="1"/>
  <c r="K25" i="1"/>
  <c r="I25" i="1"/>
  <c r="B25" i="1"/>
  <c r="I24" i="1"/>
  <c r="K24" i="1" s="1"/>
  <c r="B24" i="1"/>
  <c r="I23" i="1"/>
  <c r="K23" i="1" s="1"/>
  <c r="B23" i="1"/>
  <c r="K22" i="1"/>
  <c r="I22" i="1"/>
  <c r="B22" i="1"/>
  <c r="I21" i="1"/>
  <c r="K21" i="1" s="1"/>
  <c r="B21" i="1"/>
  <c r="I20" i="1"/>
  <c r="K20" i="1" s="1"/>
  <c r="B20" i="1"/>
  <c r="I19" i="1"/>
  <c r="K19" i="1" s="1"/>
  <c r="B19" i="1"/>
  <c r="K18" i="1"/>
  <c r="I18" i="1"/>
  <c r="B18" i="1"/>
  <c r="I17" i="1"/>
  <c r="K17" i="1" s="1"/>
  <c r="B17" i="1"/>
  <c r="I16" i="1"/>
  <c r="K16" i="1" s="1"/>
  <c r="B16" i="1"/>
  <c r="K15" i="1"/>
  <c r="I15" i="1"/>
  <c r="B15" i="1"/>
  <c r="K14" i="1"/>
  <c r="I14" i="1"/>
  <c r="B14" i="1"/>
  <c r="K13" i="1"/>
  <c r="I13" i="1"/>
  <c r="B13" i="1"/>
  <c r="K12" i="1"/>
  <c r="I12" i="1"/>
  <c r="B12" i="1"/>
  <c r="K11" i="1"/>
  <c r="I11" i="1"/>
  <c r="B11" i="1"/>
  <c r="K10" i="1"/>
  <c r="I10" i="1"/>
  <c r="B10" i="1"/>
  <c r="K9" i="1"/>
  <c r="I9" i="1"/>
  <c r="B9" i="1"/>
  <c r="K8" i="1"/>
  <c r="I8" i="1"/>
  <c r="B8" i="1"/>
  <c r="V7" i="1"/>
  <c r="U7" i="1"/>
  <c r="T7" i="1"/>
  <c r="K7" i="1"/>
  <c r="I7" i="1"/>
  <c r="B7" i="1"/>
  <c r="K6" i="1"/>
  <c r="I6" i="1"/>
  <c r="B6" i="1"/>
  <c r="K5" i="1"/>
  <c r="I5" i="1"/>
  <c r="B5" i="1"/>
  <c r="K4" i="1"/>
  <c r="I4" i="1"/>
  <c r="B4" i="1"/>
  <c r="K3" i="1"/>
  <c r="U6" i="1" s="1"/>
  <c r="I3" i="1"/>
  <c r="B3" i="1"/>
  <c r="K2" i="1"/>
  <c r="I2" i="1"/>
  <c r="S5" i="1" s="1"/>
  <c r="B2" i="1"/>
  <c r="S5" i="2" l="1"/>
  <c r="T6" i="1"/>
  <c r="T5" i="1"/>
  <c r="U5" i="1"/>
  <c r="V6" i="1"/>
  <c r="V5" i="1"/>
  <c r="V5" i="2"/>
  <c r="S6" i="1"/>
</calcChain>
</file>

<file path=xl/sharedStrings.xml><?xml version="1.0" encoding="utf-8"?>
<sst xmlns="http://schemas.openxmlformats.org/spreadsheetml/2006/main" count="74" uniqueCount="47">
  <si>
    <t>Датта</t>
  </si>
  <si>
    <t>rave fee</t>
  </si>
  <si>
    <t>COIN 1</t>
  </si>
  <si>
    <t>COIN 2</t>
  </si>
  <si>
    <t>COIN 3</t>
  </si>
  <si>
    <t>Курс coin 1</t>
  </si>
  <si>
    <t>Курс coin 2</t>
  </si>
  <si>
    <t>Курс coin 3</t>
  </si>
  <si>
    <t>Выручка</t>
  </si>
  <si>
    <t>Потребление</t>
  </si>
  <si>
    <t>Чистыми</t>
  </si>
  <si>
    <t>Примечание</t>
  </si>
  <si>
    <t>макс. Потребление</t>
  </si>
  <si>
    <t>В общем</t>
  </si>
  <si>
    <t>Максимум</t>
  </si>
  <si>
    <t>Минимум</t>
  </si>
  <si>
    <t>В среднем</t>
  </si>
  <si>
    <t>Хешрейт</t>
  </si>
  <si>
    <t>-</t>
  </si>
  <si>
    <t>cost energy UAH</t>
  </si>
  <si>
    <t>USDT/UAH</t>
  </si>
  <si>
    <t>0,011803</t>
  </si>
  <si>
    <t>0,5321</t>
  </si>
  <si>
    <t>0,009383</t>
  </si>
  <si>
    <t>0,2917</t>
  </si>
  <si>
    <t>0,015231</t>
  </si>
  <si>
    <t>0,9114</t>
  </si>
  <si>
    <t>0,040205</t>
  </si>
  <si>
    <t>1,9094</t>
  </si>
  <si>
    <t>0,044303</t>
  </si>
  <si>
    <t>2,5501</t>
  </si>
  <si>
    <t>0,077959</t>
  </si>
  <si>
    <t>3,9337</t>
  </si>
  <si>
    <t>0,091954</t>
  </si>
  <si>
    <t>5,2066</t>
  </si>
  <si>
    <t>0,107400</t>
  </si>
  <si>
    <t>5,4046</t>
  </si>
  <si>
    <t>0,116367</t>
  </si>
  <si>
    <t>5,2127</t>
  </si>
  <si>
    <t>0,114086</t>
  </si>
  <si>
    <t>5,4628</t>
  </si>
  <si>
    <t>0,120308</t>
  </si>
  <si>
    <t>6,0764</t>
  </si>
  <si>
    <t>0,064965</t>
  </si>
  <si>
    <t>3,3224</t>
  </si>
  <si>
    <t>0,072639</t>
  </si>
  <si>
    <t>3,4469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</si>
</sst>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₽&quot;_-;\-* #,##0.00\ &quot;₽&quot;_-;_-* &quot;-&quot;??\ &quot;₽&quot;_-;_-@_-"/>
    <numFmt numFmtId="164" formatCode="0.0000"/>
    <numFmt numFmtId="165" formatCode="0.00000"/>
    <numFmt numFmtId="166" formatCode="_-[$$-409]* #,##0.00_ ;_-[$$-409]* \-#,##0.00\ ;_-[$$-409]* &quot;-&quot;??_ ;_-@_ "/>
    <numFmt numFmtId="167" formatCode="0.000"/>
  </numFmts>
  <fonts count="7" x14ac:knownFonts="1">
    <font>
      <sz val="11"/>
      <color theme="1"/>
      <name val="Calibri"/>
      <family val="2"/>
      <charset val="204"/>
      <scheme val="minor"/>
    </font>
    <font>
      <b/>
      <sz val="13"/>
      <color theme="1"/>
      <name val="Comic Sans MS"/>
      <family val="4"/>
      <charset val="204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/>
  </cellStyleXfs>
  <cellXfs count="74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0" fillId="5" borderId="1" xfId="0" applyFill="1" applyBorder="1"/>
    <xf numFmtId="0" fontId="0" fillId="4" borderId="1" xfId="0" applyFill="1" applyBorder="1"/>
    <xf numFmtId="0" fontId="0" fillId="3" borderId="1" xfId="0" applyFill="1" applyBorder="1" applyAlignment="1">
      <alignment horizontal="center" vertical="center"/>
    </xf>
    <xf numFmtId="2" fontId="0" fillId="5" borderId="1" xfId="0" applyNumberFormat="1" applyFill="1" applyBorder="1"/>
    <xf numFmtId="2" fontId="0" fillId="2" borderId="1" xfId="0" applyNumberFormat="1" applyFill="1" applyBorder="1"/>
    <xf numFmtId="0" fontId="3" fillId="0" borderId="0" xfId="0" applyFont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1" fillId="9" borderId="2" xfId="0" applyFont="1" applyFill="1" applyBorder="1" applyAlignment="1">
      <alignment horizontal="left" vertical="top"/>
    </xf>
    <xf numFmtId="0" fontId="1" fillId="9" borderId="3" xfId="0" applyFont="1" applyFill="1" applyBorder="1" applyAlignment="1">
      <alignment horizontal="left" vertical="top"/>
    </xf>
    <xf numFmtId="0" fontId="1" fillId="9" borderId="8" xfId="0" applyFont="1" applyFill="1" applyBorder="1" applyAlignment="1">
      <alignment horizontal="left" vertical="top"/>
    </xf>
    <xf numFmtId="0" fontId="1" fillId="9" borderId="10" xfId="0" applyFont="1" applyFill="1" applyBorder="1" applyAlignment="1">
      <alignment horizontal="left" vertical="top"/>
    </xf>
    <xf numFmtId="0" fontId="3" fillId="9" borderId="6" xfId="0" applyFont="1" applyFill="1" applyBorder="1" applyAlignment="1">
      <alignment horizontal="left" vertical="top"/>
    </xf>
    <xf numFmtId="0" fontId="1" fillId="9" borderId="11" xfId="0" applyFont="1" applyFill="1" applyBorder="1" applyAlignment="1">
      <alignment horizontal="left" vertical="top"/>
    </xf>
    <xf numFmtId="0" fontId="3" fillId="8" borderId="1" xfId="0" applyFont="1" applyFill="1" applyBorder="1" applyAlignment="1">
      <alignment horizontal="left" vertical="top"/>
    </xf>
    <xf numFmtId="2" fontId="3" fillId="8" borderId="1" xfId="0" applyNumberFormat="1" applyFont="1" applyFill="1" applyBorder="1" applyAlignment="1">
      <alignment horizontal="left" vertical="top"/>
    </xf>
    <xf numFmtId="0" fontId="4" fillId="0" borderId="0" xfId="0" applyFont="1"/>
    <xf numFmtId="2" fontId="3" fillId="0" borderId="0" xfId="0" applyNumberFormat="1" applyFont="1" applyAlignment="1">
      <alignment horizontal="left" vertical="top"/>
    </xf>
    <xf numFmtId="1" fontId="0" fillId="0" borderId="0" xfId="0" applyNumberFormat="1"/>
    <xf numFmtId="2" fontId="3" fillId="6" borderId="1" xfId="0" applyNumberFormat="1" applyFont="1" applyFill="1" applyBorder="1" applyAlignment="1">
      <alignment horizontal="left" vertical="top"/>
    </xf>
    <xf numFmtId="2" fontId="3" fillId="6" borderId="4" xfId="0" applyNumberFormat="1" applyFont="1" applyFill="1" applyBorder="1" applyAlignment="1">
      <alignment horizontal="left" vertical="top"/>
    </xf>
    <xf numFmtId="0" fontId="3" fillId="8" borderId="4" xfId="0" applyFont="1" applyFill="1" applyBorder="1" applyAlignment="1">
      <alignment horizontal="left" vertical="top"/>
    </xf>
    <xf numFmtId="0" fontId="3" fillId="9" borderId="5" xfId="0" applyFont="1" applyFill="1" applyBorder="1" applyAlignment="1">
      <alignment horizontal="left" vertical="top"/>
    </xf>
    <xf numFmtId="14" fontId="0" fillId="7" borderId="13" xfId="0" applyNumberFormat="1" applyFill="1" applyBorder="1" applyAlignment="1">
      <alignment horizontal="left" vertical="top"/>
    </xf>
    <xf numFmtId="14" fontId="0" fillId="7" borderId="14" xfId="0" applyNumberFormat="1" applyFill="1" applyBorder="1" applyAlignment="1">
      <alignment horizontal="left" vertical="top"/>
    </xf>
    <xf numFmtId="0" fontId="1" fillId="9" borderId="9" xfId="0" applyFont="1" applyFill="1" applyBorder="1" applyAlignment="1">
      <alignment horizontal="left" vertical="top"/>
    </xf>
    <xf numFmtId="0" fontId="6" fillId="0" borderId="0" xfId="0" applyFont="1"/>
    <xf numFmtId="1" fontId="3" fillId="9" borderId="7" xfId="1" applyNumberFormat="1" applyFont="1" applyFill="1" applyBorder="1" applyAlignment="1">
      <alignment horizontal="center" vertical="center"/>
    </xf>
    <xf numFmtId="1" fontId="3" fillId="9" borderId="1" xfId="1" applyNumberFormat="1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left" vertical="top" indent="1"/>
    </xf>
    <xf numFmtId="0" fontId="3" fillId="11" borderId="1" xfId="0" applyFont="1" applyFill="1" applyBorder="1" applyAlignment="1">
      <alignment horizontal="left" vertical="top"/>
    </xf>
    <xf numFmtId="0" fontId="1" fillId="7" borderId="12" xfId="0" applyFont="1" applyFill="1" applyBorder="1" applyAlignment="1">
      <alignment horizontal="left" vertical="top"/>
    </xf>
    <xf numFmtId="2" fontId="0" fillId="0" borderId="0" xfId="0" applyNumberFormat="1" applyAlignment="1">
      <alignment horizontal="left" vertical="top"/>
    </xf>
    <xf numFmtId="1" fontId="3" fillId="0" borderId="0" xfId="1" applyNumberFormat="1" applyFont="1" applyAlignment="1">
      <alignment horizontal="center" vertical="center"/>
    </xf>
    <xf numFmtId="2" fontId="0" fillId="0" borderId="0" xfId="0" applyNumberFormat="1"/>
    <xf numFmtId="0" fontId="3" fillId="11" borderId="7" xfId="0" applyFont="1" applyFill="1" applyBorder="1" applyAlignment="1">
      <alignment horizontal="left" vertical="top"/>
    </xf>
    <xf numFmtId="2" fontId="3" fillId="8" borderId="4" xfId="0" applyNumberFormat="1" applyFont="1" applyFill="1" applyBorder="1" applyAlignment="1">
      <alignment horizontal="left" vertical="top"/>
    </xf>
    <xf numFmtId="0" fontId="3" fillId="9" borderId="1" xfId="1" applyNumberFormat="1" applyFont="1" applyFill="1" applyBorder="1" applyAlignment="1">
      <alignment horizontal="center" vertical="center"/>
    </xf>
    <xf numFmtId="2" fontId="0" fillId="10" borderId="15" xfId="0" applyNumberFormat="1" applyFill="1" applyBorder="1" applyAlignment="1">
      <alignment horizontal="left" vertical="top"/>
    </xf>
    <xf numFmtId="2" fontId="3" fillId="8" borderId="17" xfId="0" applyNumberFormat="1" applyFont="1" applyFill="1" applyBorder="1" applyAlignment="1">
      <alignment horizontal="left" vertical="top"/>
    </xf>
    <xf numFmtId="2" fontId="3" fillId="6" borderId="17" xfId="0" applyNumberFormat="1" applyFont="1" applyFill="1" applyBorder="1" applyAlignment="1">
      <alignment horizontal="left" vertical="top"/>
    </xf>
    <xf numFmtId="0" fontId="3" fillId="11" borderId="17" xfId="0" applyFont="1" applyFill="1" applyBorder="1" applyAlignment="1">
      <alignment horizontal="left" vertical="top"/>
    </xf>
    <xf numFmtId="0" fontId="3" fillId="8" borderId="17" xfId="0" applyFont="1" applyFill="1" applyBorder="1" applyAlignment="1">
      <alignment horizontal="left" vertical="top"/>
    </xf>
    <xf numFmtId="1" fontId="3" fillId="9" borderId="17" xfId="1" applyNumberFormat="1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left" vertical="top"/>
    </xf>
    <xf numFmtId="0" fontId="3" fillId="9" borderId="1" xfId="0" applyFont="1" applyFill="1" applyBorder="1" applyAlignment="1">
      <alignment horizontal="left" vertical="top"/>
    </xf>
    <xf numFmtId="14" fontId="0" fillId="7" borderId="19" xfId="0" applyNumberFormat="1" applyFill="1" applyBorder="1" applyAlignment="1">
      <alignment horizontal="left" vertical="top"/>
    </xf>
    <xf numFmtId="2" fontId="3" fillId="12" borderId="1" xfId="0" applyNumberFormat="1" applyFont="1" applyFill="1" applyBorder="1" applyAlignment="1">
      <alignment horizontal="left" vertical="top"/>
    </xf>
    <xf numFmtId="0" fontId="3" fillId="12" borderId="1" xfId="0" applyFont="1" applyFill="1" applyBorder="1" applyAlignment="1">
      <alignment horizontal="left" vertical="top"/>
    </xf>
    <xf numFmtId="14" fontId="0" fillId="7" borderId="1" xfId="0" applyNumberFormat="1" applyFill="1" applyBorder="1" applyAlignment="1">
      <alignment horizontal="left" vertical="top"/>
    </xf>
    <xf numFmtId="164" fontId="3" fillId="12" borderId="1" xfId="0" applyNumberFormat="1" applyFont="1" applyFill="1" applyBorder="1" applyAlignment="1">
      <alignment horizontal="left" vertical="top" wrapText="1"/>
    </xf>
    <xf numFmtId="165" fontId="3" fillId="12" borderId="1" xfId="0" applyNumberFormat="1" applyFont="1" applyFill="1" applyBorder="1" applyAlignment="1">
      <alignment horizontal="left" vertical="top"/>
    </xf>
    <xf numFmtId="166" fontId="3" fillId="9" borderId="1" xfId="1" applyNumberFormat="1" applyFont="1" applyFill="1" applyBorder="1" applyAlignment="1">
      <alignment horizontal="left" vertical="top"/>
    </xf>
    <xf numFmtId="166" fontId="3" fillId="9" borderId="1" xfId="0" applyNumberFormat="1" applyFont="1" applyFill="1" applyBorder="1" applyAlignment="1">
      <alignment horizontal="left" vertical="top"/>
    </xf>
    <xf numFmtId="166" fontId="0" fillId="5" borderId="1" xfId="0" applyNumberFormat="1" applyFill="1" applyBorder="1"/>
    <xf numFmtId="166" fontId="0" fillId="2" borderId="1" xfId="0" applyNumberFormat="1" applyFill="1" applyBorder="1"/>
    <xf numFmtId="165" fontId="0" fillId="0" borderId="0" xfId="0" applyNumberFormat="1"/>
    <xf numFmtId="164" fontId="0" fillId="0" borderId="0" xfId="0" applyNumberFormat="1"/>
    <xf numFmtId="164" fontId="5" fillId="0" borderId="0" xfId="0" applyNumberFormat="1" applyFont="1"/>
    <xf numFmtId="164" fontId="3" fillId="11" borderId="1" xfId="0" applyNumberFormat="1" applyFont="1" applyFill="1" applyBorder="1" applyAlignment="1">
      <alignment horizontal="left" vertical="top" wrapText="1"/>
    </xf>
    <xf numFmtId="165" fontId="3" fillId="6" borderId="1" xfId="0" applyNumberFormat="1" applyFont="1" applyFill="1" applyBorder="1" applyAlignment="1">
      <alignment horizontal="left" vertical="top"/>
    </xf>
    <xf numFmtId="164" fontId="3" fillId="11" borderId="17" xfId="0" applyNumberFormat="1" applyFont="1" applyFill="1" applyBorder="1" applyAlignment="1">
      <alignment horizontal="left" vertical="top" wrapText="1"/>
    </xf>
    <xf numFmtId="165" fontId="3" fillId="6" borderId="16" xfId="0" applyNumberFormat="1" applyFont="1" applyFill="1" applyBorder="1" applyAlignment="1">
      <alignment horizontal="left" vertical="top"/>
    </xf>
    <xf numFmtId="167" fontId="3" fillId="11" borderId="4" xfId="0" applyNumberFormat="1" applyFont="1" applyFill="1" applyBorder="1" applyAlignment="1">
      <alignment horizontal="left" vertical="top" wrapText="1"/>
    </xf>
    <xf numFmtId="165" fontId="3" fillId="6" borderId="4" xfId="0" applyNumberFormat="1" applyFont="1" applyFill="1" applyBorder="1" applyAlignment="1">
      <alignment horizontal="left" vertical="top"/>
    </xf>
    <xf numFmtId="164" fontId="3" fillId="0" borderId="0" xfId="0" applyNumberFormat="1" applyFont="1" applyAlignment="1">
      <alignment horizontal="left" vertical="top" wrapText="1"/>
    </xf>
    <xf numFmtId="166" fontId="3" fillId="0" borderId="0" xfId="1" applyNumberFormat="1" applyFont="1" applyAlignment="1">
      <alignment horizontal="left" vertical="top"/>
    </xf>
    <xf numFmtId="166" fontId="3" fillId="0" borderId="0" xfId="0" applyNumberFormat="1" applyFont="1" applyAlignment="1">
      <alignment horizontal="left" vertical="top"/>
    </xf>
    <xf numFmtId="0" fontId="0" fillId="0" borderId="0" xfId="0"/>
    <xf numFmtId="0" fontId="0" fillId="0" borderId="0" xfId="0" applyAlignment="1">
      <alignment horizontal="center"/>
    </xf>
    <xf numFmtId="0" fontId="0" fillId="0" borderId="0" xfId="0"/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2"/>
  <sheetViews>
    <sheetView topLeftCell="A16" zoomScale="85" zoomScaleNormal="85" workbookViewId="0">
      <selection activeCell="P6" sqref="P6"/>
    </sheetView>
  </sheetViews>
  <sheetFormatPr defaultRowHeight="15" x14ac:dyDescent="0.25"/>
  <cols>
    <col min="1" max="1" width="9.85546875" style="71" customWidth="1"/>
    <col min="3" max="3" width="11.140625" style="71" bestFit="1" customWidth="1"/>
    <col min="4" max="4" width="12" style="71" customWidth="1"/>
    <col min="5" max="7" width="14.5703125" style="71" customWidth="1"/>
    <col min="8" max="8" width="15.85546875" style="71" customWidth="1"/>
    <col min="9" max="10" width="14.140625" style="71" customWidth="1"/>
    <col min="11" max="11" width="12.5703125" style="71" customWidth="1"/>
    <col min="12" max="12" width="17.140625" style="71" customWidth="1"/>
    <col min="13" max="13" width="12.140625" style="71" customWidth="1"/>
    <col min="14" max="14" width="37" style="71" customWidth="1"/>
    <col min="16" max="16" width="13" style="71" customWidth="1"/>
    <col min="18" max="18" width="14.140625" style="71" customWidth="1"/>
    <col min="19" max="19" width="9.42578125" style="71" customWidth="1"/>
    <col min="20" max="20" width="11.28515625" style="71" customWidth="1"/>
    <col min="21" max="21" width="10.7109375" style="71" customWidth="1"/>
    <col min="22" max="22" width="11.140625" style="71" customWidth="1"/>
  </cols>
  <sheetData>
    <row r="1" spans="1:22" ht="21.75" customHeight="1" thickBot="1" x14ac:dyDescent="0.3">
      <c r="A1" s="34" t="s">
        <v>0</v>
      </c>
      <c r="B1" s="28" t="s">
        <v>1</v>
      </c>
      <c r="C1" s="16" t="s">
        <v>2</v>
      </c>
      <c r="D1" s="16" t="s">
        <v>3</v>
      </c>
      <c r="E1" s="16" t="s">
        <v>4</v>
      </c>
      <c r="F1" s="11" t="s">
        <v>5</v>
      </c>
      <c r="G1" s="11" t="s">
        <v>6</v>
      </c>
      <c r="H1" s="11" t="s">
        <v>7</v>
      </c>
      <c r="I1" s="12" t="s">
        <v>8</v>
      </c>
      <c r="J1" s="16" t="s">
        <v>9</v>
      </c>
      <c r="K1" s="13" t="s">
        <v>10</v>
      </c>
      <c r="L1" s="14" t="s">
        <v>11</v>
      </c>
    </row>
    <row r="2" spans="1:22" ht="15.75" customHeight="1" x14ac:dyDescent="0.25">
      <c r="A2" s="26">
        <v>44927</v>
      </c>
      <c r="B2" s="41">
        <f t="shared" ref="B2:B32" si="0">IF(J2&gt;0,J2/$P$5*$O$5, 0)</f>
        <v>0</v>
      </c>
      <c r="C2" s="53"/>
      <c r="D2" s="50"/>
      <c r="E2" s="50"/>
      <c r="F2" s="51"/>
      <c r="G2" s="51"/>
      <c r="H2" s="54"/>
      <c r="I2" s="55" t="str">
        <f t="shared" ref="I2:I32" si="1">IF(OR(F2&gt;0,D2&gt;0,E2&gt;0),C2*F2+D2*G2+E2*H2,"")</f>
        <v/>
      </c>
      <c r="J2" s="30"/>
      <c r="K2" s="56" t="str">
        <f t="shared" ref="K2:K32" si="2">IF(OR(F2&gt;0,G2&gt;0,H2&gt;0),I2-(J2/1000*($R$11/$S$11)+B2),"")</f>
        <v/>
      </c>
      <c r="L2" s="25"/>
    </row>
    <row r="3" spans="1:22" ht="15.75" customHeight="1" x14ac:dyDescent="0.25">
      <c r="A3" s="27">
        <v>44928</v>
      </c>
      <c r="B3" s="41">
        <f t="shared" si="0"/>
        <v>0</v>
      </c>
      <c r="C3" s="53"/>
      <c r="D3" s="50"/>
      <c r="E3" s="50"/>
      <c r="F3" s="51"/>
      <c r="G3" s="51"/>
      <c r="H3" s="54"/>
      <c r="I3" s="55" t="str">
        <f t="shared" si="1"/>
        <v/>
      </c>
      <c r="J3" s="31"/>
      <c r="K3" s="56" t="str">
        <f t="shared" si="2"/>
        <v/>
      </c>
      <c r="L3" s="15"/>
    </row>
    <row r="4" spans="1:22" ht="18.75" customHeight="1" x14ac:dyDescent="0.25">
      <c r="A4" s="27">
        <v>44929</v>
      </c>
      <c r="B4" s="41">
        <f t="shared" si="0"/>
        <v>0</v>
      </c>
      <c r="C4" s="53"/>
      <c r="D4" s="50"/>
      <c r="E4" s="50"/>
      <c r="F4" s="51"/>
      <c r="G4" s="51"/>
      <c r="H4" s="54"/>
      <c r="I4" s="55" t="str">
        <f t="shared" si="1"/>
        <v/>
      </c>
      <c r="J4" s="31"/>
      <c r="K4" s="56" t="str">
        <f t="shared" si="2"/>
        <v/>
      </c>
      <c r="L4" s="15"/>
      <c r="O4" t="s">
        <v>1</v>
      </c>
      <c r="P4" t="s">
        <v>12</v>
      </c>
      <c r="R4" s="1"/>
      <c r="S4" s="5" t="s">
        <v>13</v>
      </c>
      <c r="T4" s="5" t="s">
        <v>14</v>
      </c>
      <c r="U4" s="5" t="s">
        <v>15</v>
      </c>
      <c r="V4" s="5" t="s">
        <v>16</v>
      </c>
    </row>
    <row r="5" spans="1:22" ht="15.75" customHeight="1" x14ac:dyDescent="0.25">
      <c r="A5" s="27">
        <v>44930</v>
      </c>
      <c r="B5" s="41">
        <f t="shared" si="0"/>
        <v>0</v>
      </c>
      <c r="C5" s="53"/>
      <c r="D5" s="50"/>
      <c r="E5" s="50"/>
      <c r="F5" s="51"/>
      <c r="G5" s="51"/>
      <c r="H5" s="54"/>
      <c r="I5" s="55" t="str">
        <f t="shared" si="1"/>
        <v/>
      </c>
      <c r="J5" s="31"/>
      <c r="K5" s="56" t="str">
        <f t="shared" si="2"/>
        <v/>
      </c>
      <c r="L5" s="15"/>
      <c r="O5">
        <v>0.1</v>
      </c>
      <c r="P5">
        <v>12000</v>
      </c>
      <c r="R5" s="4" t="s">
        <v>8</v>
      </c>
      <c r="S5" s="57">
        <f>SUM(I2:I32)</f>
        <v>3.6438156399999992</v>
      </c>
      <c r="T5" s="57">
        <f>MAX(I2:I32)</f>
        <v>0.67304361499999998</v>
      </c>
      <c r="U5" s="57">
        <f>MIN(I2:I32)</f>
        <v>4.3818599999999999E-2</v>
      </c>
      <c r="V5" s="7">
        <f>AVERAGEIF(I2:I32,"&gt;0")</f>
        <v>0.33125596727272721</v>
      </c>
    </row>
    <row r="6" spans="1:22" ht="15.75" customHeight="1" x14ac:dyDescent="0.25">
      <c r="A6" s="27">
        <v>44931</v>
      </c>
      <c r="B6" s="41">
        <f t="shared" si="0"/>
        <v>0</v>
      </c>
      <c r="C6" s="53"/>
      <c r="D6" s="50"/>
      <c r="E6" s="50"/>
      <c r="F6" s="51"/>
      <c r="G6" s="51"/>
      <c r="H6" s="54"/>
      <c r="I6" s="55" t="str">
        <f t="shared" si="1"/>
        <v/>
      </c>
      <c r="J6" s="31"/>
      <c r="K6" s="56" t="str">
        <f t="shared" si="2"/>
        <v/>
      </c>
      <c r="L6" s="15"/>
      <c r="R6" s="3" t="s">
        <v>10</v>
      </c>
      <c r="S6" s="58">
        <f>SUM(K2:K32)</f>
        <v>0.55837909177664946</v>
      </c>
      <c r="T6" s="58">
        <f>MAX(K2:K32)</f>
        <v>0.23928476406091365</v>
      </c>
      <c r="U6" s="58">
        <f>MIN(K2:K32)</f>
        <v>-0.2313887239424704</v>
      </c>
      <c r="V6" s="8">
        <f>AVERAGEIF(K2:K32,"&gt;0")</f>
        <v>0.18280427664297799</v>
      </c>
    </row>
    <row r="7" spans="1:22" ht="15.75" customHeight="1" x14ac:dyDescent="0.25">
      <c r="A7" s="27">
        <v>44932</v>
      </c>
      <c r="B7" s="41">
        <f t="shared" si="0"/>
        <v>0</v>
      </c>
      <c r="C7" s="53"/>
      <c r="D7" s="50"/>
      <c r="E7" s="50"/>
      <c r="F7" s="51"/>
      <c r="G7" s="51"/>
      <c r="H7" s="54"/>
      <c r="I7" s="55" t="str">
        <f t="shared" si="1"/>
        <v/>
      </c>
      <c r="J7" s="31"/>
      <c r="K7" s="56" t="str">
        <f t="shared" si="2"/>
        <v/>
      </c>
      <c r="L7" s="15"/>
      <c r="R7" s="2" t="s">
        <v>17</v>
      </c>
      <c r="S7" s="6" t="s">
        <v>18</v>
      </c>
      <c r="T7" s="2" t="e">
        <f>MAX(#REF!)</f>
        <v>#REF!</v>
      </c>
      <c r="U7" s="2" t="e">
        <f>MIN(#REF!)</f>
        <v>#REF!</v>
      </c>
      <c r="V7" s="2" t="e">
        <f>AVERAGEIF(#REF!, "&gt;0")</f>
        <v>#REF!</v>
      </c>
    </row>
    <row r="8" spans="1:22" ht="15.75" customHeight="1" x14ac:dyDescent="0.25">
      <c r="A8" s="27">
        <v>44933</v>
      </c>
      <c r="B8" s="41">
        <f t="shared" si="0"/>
        <v>0</v>
      </c>
      <c r="C8" s="53"/>
      <c r="D8" s="50"/>
      <c r="E8" s="50"/>
      <c r="F8" s="51"/>
      <c r="G8" s="51"/>
      <c r="H8" s="54"/>
      <c r="I8" s="55" t="str">
        <f t="shared" si="1"/>
        <v/>
      </c>
      <c r="J8" s="31"/>
      <c r="K8" s="56" t="str">
        <f t="shared" si="2"/>
        <v/>
      </c>
      <c r="L8" s="15"/>
      <c r="P8" s="59"/>
    </row>
    <row r="9" spans="1:22" ht="15.75" customHeight="1" x14ac:dyDescent="0.25">
      <c r="A9" s="27">
        <v>44934</v>
      </c>
      <c r="B9" s="41">
        <f t="shared" si="0"/>
        <v>0</v>
      </c>
      <c r="C9" s="53"/>
      <c r="D9" s="50"/>
      <c r="E9" s="50"/>
      <c r="F9" s="51"/>
      <c r="G9" s="51"/>
      <c r="H9" s="54"/>
      <c r="I9" s="55" t="str">
        <f t="shared" si="1"/>
        <v/>
      </c>
      <c r="J9" s="31"/>
      <c r="K9" s="56" t="str">
        <f t="shared" si="2"/>
        <v/>
      </c>
      <c r="L9" s="15"/>
      <c r="O9" s="37"/>
      <c r="P9" s="59"/>
    </row>
    <row r="10" spans="1:22" ht="15.75" customHeight="1" x14ac:dyDescent="0.25">
      <c r="A10" s="27">
        <v>44935</v>
      </c>
      <c r="B10" s="41">
        <f t="shared" si="0"/>
        <v>0</v>
      </c>
      <c r="C10" s="53"/>
      <c r="D10" s="50"/>
      <c r="E10" s="50"/>
      <c r="F10" s="51"/>
      <c r="G10" s="51"/>
      <c r="H10" s="54"/>
      <c r="I10" s="55" t="str">
        <f t="shared" si="1"/>
        <v/>
      </c>
      <c r="J10" s="31"/>
      <c r="K10" s="56" t="str">
        <f t="shared" si="2"/>
        <v/>
      </c>
      <c r="L10" s="15"/>
      <c r="P10" s="60"/>
      <c r="Q10" s="19"/>
      <c r="R10" s="29" t="s">
        <v>19</v>
      </c>
      <c r="S10" s="29" t="s">
        <v>20</v>
      </c>
    </row>
    <row r="11" spans="1:22" ht="15.75" customHeight="1" x14ac:dyDescent="0.25">
      <c r="A11" s="27">
        <v>44936</v>
      </c>
      <c r="B11" s="41">
        <f t="shared" si="0"/>
        <v>0</v>
      </c>
      <c r="C11" s="53"/>
      <c r="D11" s="50"/>
      <c r="E11" s="50"/>
      <c r="F11" s="51"/>
      <c r="G11" s="51"/>
      <c r="H11" s="54"/>
      <c r="I11" s="55" t="str">
        <f t="shared" si="1"/>
        <v/>
      </c>
      <c r="J11" s="31"/>
      <c r="K11" s="56" t="str">
        <f t="shared" si="2"/>
        <v/>
      </c>
      <c r="L11" s="15"/>
      <c r="P11" s="37"/>
      <c r="Q11" s="19"/>
      <c r="R11">
        <v>1.71</v>
      </c>
      <c r="S11">
        <v>39.4</v>
      </c>
    </row>
    <row r="12" spans="1:22" ht="15.75" customHeight="1" x14ac:dyDescent="0.25">
      <c r="A12" s="27">
        <v>44937</v>
      </c>
      <c r="B12" s="41">
        <f t="shared" si="0"/>
        <v>0</v>
      </c>
      <c r="C12" s="53"/>
      <c r="D12" s="50"/>
      <c r="E12" s="50"/>
      <c r="F12" s="51"/>
      <c r="G12" s="51"/>
      <c r="H12" s="54"/>
      <c r="I12" s="55" t="str">
        <f t="shared" si="1"/>
        <v/>
      </c>
      <c r="J12" s="31"/>
      <c r="K12" s="56" t="str">
        <f t="shared" si="2"/>
        <v/>
      </c>
      <c r="L12" s="15"/>
      <c r="P12" s="59"/>
      <c r="Q12" s="19"/>
      <c r="R12" s="59"/>
      <c r="T12" s="72"/>
      <c r="U12" s="73"/>
      <c r="V12" s="21"/>
    </row>
    <row r="13" spans="1:22" ht="15.75" customHeight="1" x14ac:dyDescent="0.25">
      <c r="A13" s="27">
        <v>44938</v>
      </c>
      <c r="B13" s="41">
        <f t="shared" si="0"/>
        <v>0</v>
      </c>
      <c r="C13" s="53"/>
      <c r="D13" s="50"/>
      <c r="E13" s="50"/>
      <c r="F13" s="51"/>
      <c r="G13" s="51"/>
      <c r="H13" s="54"/>
      <c r="I13" s="55" t="str">
        <f t="shared" si="1"/>
        <v/>
      </c>
      <c r="J13" s="31"/>
      <c r="K13" s="56" t="str">
        <f t="shared" si="2"/>
        <v/>
      </c>
      <c r="L13" s="15"/>
      <c r="P13" s="61"/>
      <c r="Q13" s="19"/>
      <c r="R13" s="59"/>
    </row>
    <row r="14" spans="1:22" ht="15.75" customHeight="1" x14ac:dyDescent="0.25">
      <c r="A14" s="27">
        <v>44939</v>
      </c>
      <c r="B14" s="41">
        <f t="shared" si="0"/>
        <v>0</v>
      </c>
      <c r="C14" s="53"/>
      <c r="D14" s="50"/>
      <c r="E14" s="50"/>
      <c r="F14" s="51"/>
      <c r="G14" s="51"/>
      <c r="H14" s="54"/>
      <c r="I14" s="55" t="str">
        <f t="shared" si="1"/>
        <v/>
      </c>
      <c r="J14" s="31"/>
      <c r="K14" s="56" t="str">
        <f t="shared" si="2"/>
        <v/>
      </c>
      <c r="L14" s="15"/>
      <c r="Q14" s="19"/>
      <c r="R14" s="59"/>
    </row>
    <row r="15" spans="1:22" ht="15.75" customHeight="1" x14ac:dyDescent="0.25">
      <c r="A15" s="27">
        <v>44940</v>
      </c>
      <c r="B15" s="41">
        <f t="shared" si="0"/>
        <v>0</v>
      </c>
      <c r="C15" s="53"/>
      <c r="D15" s="50"/>
      <c r="E15" s="50"/>
      <c r="F15" s="51"/>
      <c r="G15" s="51"/>
      <c r="H15" s="54"/>
      <c r="I15" s="55" t="str">
        <f t="shared" si="1"/>
        <v/>
      </c>
      <c r="J15" s="31"/>
      <c r="K15" s="56" t="str">
        <f t="shared" si="2"/>
        <v/>
      </c>
      <c r="L15" s="15"/>
      <c r="P15" s="59"/>
    </row>
    <row r="16" spans="1:22" ht="17.25" customHeight="1" x14ac:dyDescent="0.25">
      <c r="A16" s="27">
        <v>44941</v>
      </c>
      <c r="B16" s="41">
        <f t="shared" si="0"/>
        <v>4.3833333333333335E-2</v>
      </c>
      <c r="C16" s="62">
        <v>5.1712000000000001E-2</v>
      </c>
      <c r="D16" s="18">
        <v>1.6409</v>
      </c>
      <c r="E16" s="22">
        <v>17</v>
      </c>
      <c r="F16" s="33">
        <v>4</v>
      </c>
      <c r="G16" s="17">
        <v>2.9049999999999999E-2</v>
      </c>
      <c r="H16" s="63">
        <v>6.1999999999999998E-3</v>
      </c>
      <c r="I16" s="55">
        <f t="shared" si="1"/>
        <v>0.35991614500000002</v>
      </c>
      <c r="J16" s="31">
        <v>5260</v>
      </c>
      <c r="K16" s="56">
        <f t="shared" si="2"/>
        <v>8.7793471565143832E-2</v>
      </c>
      <c r="L16" s="15"/>
    </row>
    <row r="17" spans="1:16" ht="15.75" customHeight="1" x14ac:dyDescent="0.25">
      <c r="A17" s="27">
        <v>44942</v>
      </c>
      <c r="B17" s="41">
        <f t="shared" si="0"/>
        <v>6.7750000000000005E-2</v>
      </c>
      <c r="C17" s="62">
        <v>7.4756000000000003E-2</v>
      </c>
      <c r="D17" s="18">
        <v>3.24</v>
      </c>
      <c r="E17" s="22">
        <v>26</v>
      </c>
      <c r="F17" s="33">
        <v>5.13</v>
      </c>
      <c r="G17" s="17">
        <v>3.1449999999999999E-2</v>
      </c>
      <c r="H17" s="63">
        <v>6.1999999999999998E-3</v>
      </c>
      <c r="I17" s="55">
        <f t="shared" si="1"/>
        <v>0.64659628000000002</v>
      </c>
      <c r="J17" s="31">
        <v>8130</v>
      </c>
      <c r="K17" s="56">
        <f t="shared" si="2"/>
        <v>0.22599602619289338</v>
      </c>
      <c r="L17" s="15"/>
    </row>
    <row r="18" spans="1:16" ht="15.75" customHeight="1" x14ac:dyDescent="0.25">
      <c r="A18" s="27">
        <v>44943</v>
      </c>
      <c r="B18" s="41">
        <f t="shared" si="0"/>
        <v>5.2500000000000005E-2</v>
      </c>
      <c r="C18" s="62">
        <v>6.9181999999999994E-2</v>
      </c>
      <c r="D18" s="18">
        <v>2.35</v>
      </c>
      <c r="E18" s="22">
        <v>22</v>
      </c>
      <c r="F18" s="33">
        <v>5.13</v>
      </c>
      <c r="G18" s="17">
        <v>3.1449999999999999E-2</v>
      </c>
      <c r="H18" s="63">
        <v>6.1999999999999998E-3</v>
      </c>
      <c r="I18" s="55">
        <f t="shared" si="1"/>
        <v>0.56521115999999993</v>
      </c>
      <c r="J18" s="31">
        <v>6300</v>
      </c>
      <c r="K18" s="56">
        <f t="shared" si="2"/>
        <v>0.23928476406091365</v>
      </c>
      <c r="L18" s="15"/>
    </row>
    <row r="19" spans="1:16" ht="15.75" customHeight="1" x14ac:dyDescent="0.25">
      <c r="A19" s="27">
        <v>44944</v>
      </c>
      <c r="B19" s="41">
        <f t="shared" si="0"/>
        <v>6.5916666666666665E-2</v>
      </c>
      <c r="C19" s="62">
        <v>6.9816000000000003E-2</v>
      </c>
      <c r="D19" s="18">
        <v>3.22</v>
      </c>
      <c r="E19" s="22">
        <v>20</v>
      </c>
      <c r="F19" s="33">
        <v>5.13</v>
      </c>
      <c r="G19" s="17">
        <v>3.1449999999999999E-2</v>
      </c>
      <c r="H19" s="63">
        <v>6.1999999999999998E-3</v>
      </c>
      <c r="I19" s="55">
        <f t="shared" si="1"/>
        <v>0.58342508000000004</v>
      </c>
      <c r="J19" s="31">
        <v>7910</v>
      </c>
      <c r="K19" s="56">
        <f t="shared" si="2"/>
        <v>0.17420638287648055</v>
      </c>
      <c r="L19" s="32"/>
      <c r="P19" s="37"/>
    </row>
    <row r="20" spans="1:16" ht="15.75" customHeight="1" x14ac:dyDescent="0.25">
      <c r="A20" s="27">
        <v>44945</v>
      </c>
      <c r="B20" s="41">
        <f t="shared" si="0"/>
        <v>7.8333333333333338E-2</v>
      </c>
      <c r="C20" s="62">
        <v>9.9933999999999995E-2</v>
      </c>
      <c r="D20" s="18">
        <v>1.9382999999999999</v>
      </c>
      <c r="E20" s="22">
        <v>35</v>
      </c>
      <c r="F20" s="33">
        <v>4</v>
      </c>
      <c r="G20" s="17">
        <v>2.9049999999999999E-2</v>
      </c>
      <c r="H20" s="63">
        <v>6.1999999999999998E-3</v>
      </c>
      <c r="I20" s="55">
        <f t="shared" si="1"/>
        <v>0.67304361499999998</v>
      </c>
      <c r="J20" s="31">
        <v>9400</v>
      </c>
      <c r="K20" s="56">
        <f t="shared" si="2"/>
        <v>0.18674073851945849</v>
      </c>
      <c r="L20" s="15"/>
      <c r="P20" s="59"/>
    </row>
    <row r="21" spans="1:16" ht="15.75" customHeight="1" x14ac:dyDescent="0.25">
      <c r="A21" s="27">
        <v>44946</v>
      </c>
      <c r="B21" s="41">
        <f t="shared" si="0"/>
        <v>5.683333333333334E-2</v>
      </c>
      <c r="C21" s="62">
        <v>6.8958000000000005E-2</v>
      </c>
      <c r="D21" s="18">
        <v>1.6625000000000001</v>
      </c>
      <c r="E21" s="22">
        <v>24</v>
      </c>
      <c r="F21" s="33">
        <v>3.9</v>
      </c>
      <c r="G21" s="17">
        <v>2.7699999999999999E-2</v>
      </c>
      <c r="H21" s="63"/>
      <c r="I21" s="55">
        <f t="shared" si="1"/>
        <v>0.31498745</v>
      </c>
      <c r="J21" s="31">
        <v>6820</v>
      </c>
      <c r="K21" s="56">
        <f t="shared" si="2"/>
        <v>-3.7840807191201364E-2</v>
      </c>
      <c r="L21" s="15"/>
      <c r="P21" s="37"/>
    </row>
    <row r="22" spans="1:16" ht="15.75" customHeight="1" x14ac:dyDescent="0.25">
      <c r="A22" s="27">
        <v>44947</v>
      </c>
      <c r="B22" s="41">
        <f t="shared" si="0"/>
        <v>4.958333333333334E-2</v>
      </c>
      <c r="C22" s="62">
        <v>6.0243999999999999E-2</v>
      </c>
      <c r="D22" s="18">
        <v>1.4204000000000001</v>
      </c>
      <c r="E22" s="22">
        <v>22</v>
      </c>
      <c r="F22" s="33">
        <v>3.7</v>
      </c>
      <c r="G22" s="17">
        <v>2.7699999999999999E-2</v>
      </c>
      <c r="H22" s="63"/>
      <c r="I22" s="55">
        <f t="shared" si="1"/>
        <v>0.26224787999999999</v>
      </c>
      <c r="J22" s="31">
        <v>5950</v>
      </c>
      <c r="K22" s="56">
        <f t="shared" si="2"/>
        <v>-4.5571493942470398E-2</v>
      </c>
      <c r="L22" s="15"/>
      <c r="P22" s="59"/>
    </row>
    <row r="23" spans="1:16" ht="15.75" customHeight="1" x14ac:dyDescent="0.25">
      <c r="A23" s="27">
        <v>44948</v>
      </c>
      <c r="B23" s="41">
        <f t="shared" si="0"/>
        <v>4.958333333333334E-2</v>
      </c>
      <c r="C23" s="62">
        <v>1.6326E-2</v>
      </c>
      <c r="D23" s="18">
        <v>0.57850000000000001</v>
      </c>
      <c r="E23" s="22">
        <v>6</v>
      </c>
      <c r="F23" s="33">
        <v>3.7</v>
      </c>
      <c r="G23" s="17">
        <v>2.7699999999999999E-2</v>
      </c>
      <c r="H23" s="63"/>
      <c r="I23" s="55">
        <f t="shared" si="1"/>
        <v>7.6430650000000003E-2</v>
      </c>
      <c r="J23" s="31">
        <v>5950</v>
      </c>
      <c r="K23" s="56">
        <f t="shared" si="2"/>
        <v>-0.2313887239424704</v>
      </c>
      <c r="L23" s="15"/>
      <c r="O23" s="37"/>
    </row>
    <row r="24" spans="1:16" ht="15.75" customHeight="1" x14ac:dyDescent="0.25">
      <c r="A24" s="27">
        <v>44949</v>
      </c>
      <c r="B24" s="41">
        <f t="shared" si="0"/>
        <v>1.5333333333333332E-2</v>
      </c>
      <c r="C24" s="62">
        <v>1.813E-2</v>
      </c>
      <c r="D24" s="18">
        <v>0.19239999999999999</v>
      </c>
      <c r="E24" s="22">
        <v>6.5</v>
      </c>
      <c r="F24" s="33">
        <v>3.7</v>
      </c>
      <c r="G24" s="17">
        <v>2.7699999999999999E-2</v>
      </c>
      <c r="H24" s="63"/>
      <c r="I24" s="55">
        <f t="shared" si="1"/>
        <v>7.2410479999999999E-2</v>
      </c>
      <c r="J24" s="31">
        <v>1840</v>
      </c>
      <c r="K24" s="56">
        <f t="shared" si="2"/>
        <v>-2.2780721353637914E-2</v>
      </c>
      <c r="L24" s="15"/>
    </row>
    <row r="25" spans="1:16" ht="15.75" customHeight="1" x14ac:dyDescent="0.25">
      <c r="A25" s="27">
        <v>44950</v>
      </c>
      <c r="B25" s="41">
        <f t="shared" si="0"/>
        <v>0</v>
      </c>
      <c r="C25" s="62"/>
      <c r="D25" s="18"/>
      <c r="E25" s="22"/>
      <c r="F25" s="33"/>
      <c r="G25" s="17"/>
      <c r="H25" s="63"/>
      <c r="I25" s="55" t="str">
        <f t="shared" si="1"/>
        <v/>
      </c>
      <c r="J25" s="31"/>
      <c r="K25" s="56" t="str">
        <f t="shared" si="2"/>
        <v/>
      </c>
      <c r="L25" s="15"/>
      <c r="P25" s="59"/>
    </row>
    <row r="26" spans="1:16" ht="15.75" customHeight="1" x14ac:dyDescent="0.25">
      <c r="A26" s="27">
        <v>44951</v>
      </c>
      <c r="B26" s="41">
        <f t="shared" si="0"/>
        <v>0</v>
      </c>
      <c r="C26" s="62"/>
      <c r="D26" s="18"/>
      <c r="E26" s="22"/>
      <c r="F26" s="33"/>
      <c r="G26" s="17"/>
      <c r="H26" s="63"/>
      <c r="I26" s="55" t="str">
        <f t="shared" si="1"/>
        <v/>
      </c>
      <c r="J26" s="31"/>
      <c r="K26" s="56" t="str">
        <f t="shared" si="2"/>
        <v/>
      </c>
      <c r="L26" s="15"/>
    </row>
    <row r="27" spans="1:16" ht="15.75" customHeight="1" x14ac:dyDescent="0.25">
      <c r="A27" s="27">
        <v>44952</v>
      </c>
      <c r="B27" s="41">
        <f t="shared" si="0"/>
        <v>0</v>
      </c>
      <c r="C27" s="62"/>
      <c r="D27" s="18"/>
      <c r="E27" s="22"/>
      <c r="F27" s="33"/>
      <c r="G27" s="17"/>
      <c r="H27" s="63"/>
      <c r="I27" s="55" t="str">
        <f t="shared" si="1"/>
        <v/>
      </c>
      <c r="J27" s="31"/>
      <c r="K27" s="56" t="str">
        <f t="shared" si="2"/>
        <v/>
      </c>
      <c r="L27" s="15"/>
    </row>
    <row r="28" spans="1:16" ht="15.75" customHeight="1" x14ac:dyDescent="0.25">
      <c r="A28" s="27">
        <v>44953</v>
      </c>
      <c r="B28" s="41">
        <f t="shared" si="0"/>
        <v>0</v>
      </c>
      <c r="C28" s="62"/>
      <c r="D28" s="18"/>
      <c r="E28" s="22"/>
      <c r="F28" s="33"/>
      <c r="G28" s="17"/>
      <c r="H28" s="63"/>
      <c r="I28" s="55" t="str">
        <f t="shared" si="1"/>
        <v/>
      </c>
      <c r="J28" s="31"/>
      <c r="K28" s="56" t="str">
        <f t="shared" si="2"/>
        <v/>
      </c>
      <c r="L28" s="48"/>
    </row>
    <row r="29" spans="1:16" ht="15.75" customHeight="1" x14ac:dyDescent="0.25">
      <c r="A29" s="27">
        <v>44954</v>
      </c>
      <c r="B29" s="41">
        <f t="shared" si="0"/>
        <v>8.9999999999999993E-3</v>
      </c>
      <c r="C29" s="62">
        <v>1.0659999999999999E-2</v>
      </c>
      <c r="D29" s="18">
        <v>0.158</v>
      </c>
      <c r="E29" s="22">
        <v>3.5</v>
      </c>
      <c r="F29" s="33">
        <v>3.7</v>
      </c>
      <c r="G29" s="17">
        <v>2.7699999999999999E-2</v>
      </c>
      <c r="H29" s="63"/>
      <c r="I29" s="55">
        <f t="shared" si="1"/>
        <v>4.3818599999999999E-2</v>
      </c>
      <c r="J29" s="31">
        <v>1080</v>
      </c>
      <c r="K29" s="56">
        <f t="shared" si="2"/>
        <v>-1.2054496446700515E-2</v>
      </c>
      <c r="L29" s="48"/>
    </row>
    <row r="30" spans="1:16" ht="15.75" customHeight="1" x14ac:dyDescent="0.25">
      <c r="A30" s="27">
        <v>44955</v>
      </c>
      <c r="B30" s="41">
        <f t="shared" si="0"/>
        <v>8.3333333333333332E-3</v>
      </c>
      <c r="C30" s="62">
        <v>1.2359E-2</v>
      </c>
      <c r="D30" s="18">
        <v>0</v>
      </c>
      <c r="E30" s="22">
        <v>3</v>
      </c>
      <c r="F30" s="33">
        <v>3.7</v>
      </c>
      <c r="G30" s="17">
        <v>0</v>
      </c>
      <c r="H30" s="63"/>
      <c r="I30" s="55">
        <f t="shared" si="1"/>
        <v>4.57283E-2</v>
      </c>
      <c r="J30" s="40">
        <v>1000</v>
      </c>
      <c r="K30" s="56">
        <f t="shared" si="2"/>
        <v>-6.006048561759729E-3</v>
      </c>
      <c r="L30" s="48"/>
    </row>
    <row r="31" spans="1:16" ht="15.75" customHeight="1" x14ac:dyDescent="0.25">
      <c r="A31" s="27">
        <v>44956</v>
      </c>
      <c r="B31" s="41">
        <f t="shared" si="0"/>
        <v>0</v>
      </c>
      <c r="C31" s="62"/>
      <c r="D31" s="18"/>
      <c r="E31" s="22"/>
      <c r="F31" s="33"/>
      <c r="G31" s="17"/>
      <c r="H31" s="63"/>
      <c r="I31" s="55" t="str">
        <f t="shared" si="1"/>
        <v/>
      </c>
      <c r="J31" s="31"/>
      <c r="K31" s="56" t="str">
        <f t="shared" si="2"/>
        <v/>
      </c>
      <c r="L31" s="48"/>
    </row>
    <row r="32" spans="1:16" ht="16.5" customHeight="1" thickBot="1" x14ac:dyDescent="0.3">
      <c r="A32" s="49">
        <v>44957</v>
      </c>
      <c r="B32" s="41">
        <f t="shared" si="0"/>
        <v>0</v>
      </c>
      <c r="C32" s="64"/>
      <c r="D32" s="42"/>
      <c r="E32" s="43"/>
      <c r="F32" s="44"/>
      <c r="G32" s="45"/>
      <c r="H32" s="65"/>
      <c r="I32" s="55" t="str">
        <f t="shared" si="1"/>
        <v/>
      </c>
      <c r="J32" s="46"/>
      <c r="K32" s="56" t="str">
        <f t="shared" si="2"/>
        <v/>
      </c>
      <c r="L32" s="47"/>
    </row>
  </sheetData>
  <mergeCells count="1">
    <mergeCell ref="T12:U1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3"/>
  <sheetViews>
    <sheetView tabSelected="1" zoomScale="85" zoomScaleNormal="85" workbookViewId="0">
      <selection activeCell="M12" sqref="M12"/>
    </sheetView>
  </sheetViews>
  <sheetFormatPr defaultRowHeight="15" x14ac:dyDescent="0.25"/>
  <cols>
    <col min="1" max="1" width="11.42578125" style="71" customWidth="1"/>
    <col min="2" max="2" width="12" style="71" customWidth="1"/>
    <col min="3" max="3" width="12.85546875" style="71" customWidth="1"/>
    <col min="4" max="4" width="12" style="71" customWidth="1"/>
    <col min="5" max="7" width="14.5703125" style="71" customWidth="1"/>
    <col min="8" max="8" width="15.85546875" style="71" customWidth="1"/>
    <col min="9" max="9" width="16" style="71" customWidth="1"/>
    <col min="10" max="10" width="14.140625" style="71" customWidth="1"/>
    <col min="11" max="11" width="12.5703125" style="71" customWidth="1"/>
    <col min="12" max="12" width="17.140625" style="71" customWidth="1"/>
    <col min="13" max="13" width="12.140625" style="71" customWidth="1"/>
    <col min="14" max="14" width="21" style="71" customWidth="1"/>
    <col min="15" max="15" width="11.85546875" style="71" customWidth="1"/>
    <col min="16" max="16" width="18.140625" style="71" customWidth="1"/>
    <col min="18" max="18" width="14.140625" style="71" customWidth="1"/>
    <col min="19" max="19" width="9.42578125" style="71" customWidth="1"/>
    <col min="20" max="20" width="11.28515625" style="71" customWidth="1"/>
    <col min="21" max="21" width="10.7109375" style="71" customWidth="1"/>
    <col min="22" max="22" width="11.140625" style="71" customWidth="1"/>
  </cols>
  <sheetData>
    <row r="1" spans="1:22" ht="21.75" customHeight="1" thickBot="1" x14ac:dyDescent="0.3">
      <c r="A1" s="34" t="s">
        <v>0</v>
      </c>
      <c r="B1" s="28" t="s">
        <v>1</v>
      </c>
      <c r="C1" s="16" t="s">
        <v>2</v>
      </c>
      <c r="D1" s="16" t="s">
        <v>3</v>
      </c>
      <c r="E1" s="16" t="s">
        <v>4</v>
      </c>
      <c r="F1" s="11" t="s">
        <v>5</v>
      </c>
      <c r="G1" s="11" t="s">
        <v>6</v>
      </c>
      <c r="H1" s="11" t="s">
        <v>7</v>
      </c>
      <c r="I1" s="12" t="s">
        <v>8</v>
      </c>
      <c r="J1" s="16" t="s">
        <v>9</v>
      </c>
      <c r="K1" s="13" t="s">
        <v>10</v>
      </c>
      <c r="L1" s="14" t="s">
        <v>11</v>
      </c>
    </row>
    <row r="2" spans="1:22" ht="15.75" customHeight="1" x14ac:dyDescent="0.25">
      <c r="A2" s="52">
        <v>44958</v>
      </c>
      <c r="B2" s="41">
        <f t="shared" ref="B2:B29" si="0">IF(J2&gt;0,J2/$P$5*$O$5, 0)</f>
        <v>0</v>
      </c>
      <c r="C2" s="66"/>
      <c r="D2" s="39"/>
      <c r="E2" s="23"/>
      <c r="F2" s="38"/>
      <c r="G2" s="24"/>
      <c r="H2" s="67"/>
      <c r="I2" s="55" t="str">
        <f t="shared" ref="I2:I29" si="1">IF(OR(F2&gt;0,D2&gt;0,E2&gt;0),C2*F2+D2*G2+E2*H2,"")</f>
        <v/>
      </c>
      <c r="J2" s="30"/>
      <c r="K2" s="56" t="str">
        <f t="shared" ref="K2:K21" si="2">IF(OR(F2&gt;0,G2&gt;0,H2&gt;0),I2-(J2/1000*($R$11/$S$11)+B2),"")</f>
        <v/>
      </c>
      <c r="L2" s="25"/>
    </row>
    <row r="3" spans="1:22" ht="15.75" customHeight="1" x14ac:dyDescent="0.25">
      <c r="A3" s="52">
        <v>44959</v>
      </c>
      <c r="B3" s="41">
        <f t="shared" si="0"/>
        <v>0</v>
      </c>
      <c r="C3" s="62"/>
      <c r="D3" s="18"/>
      <c r="E3" s="22"/>
      <c r="F3" s="33"/>
      <c r="G3" s="17"/>
      <c r="H3" s="63"/>
      <c r="I3" s="55" t="str">
        <f t="shared" si="1"/>
        <v/>
      </c>
      <c r="J3" s="31"/>
      <c r="K3" s="56" t="str">
        <f t="shared" si="2"/>
        <v/>
      </c>
      <c r="L3" s="15"/>
    </row>
    <row r="4" spans="1:22" ht="18.75" customHeight="1" x14ac:dyDescent="0.25">
      <c r="A4" s="52">
        <v>44960</v>
      </c>
      <c r="B4" s="41">
        <f t="shared" si="0"/>
        <v>0</v>
      </c>
      <c r="C4" s="62"/>
      <c r="D4" s="18"/>
      <c r="E4" s="22"/>
      <c r="F4" s="33"/>
      <c r="G4" s="17"/>
      <c r="H4" s="63"/>
      <c r="I4" s="55" t="str">
        <f t="shared" si="1"/>
        <v/>
      </c>
      <c r="J4" s="31"/>
      <c r="K4" s="56" t="str">
        <f t="shared" si="2"/>
        <v/>
      </c>
      <c r="L4" s="15"/>
      <c r="O4" t="s">
        <v>1</v>
      </c>
      <c r="P4" t="s">
        <v>12</v>
      </c>
      <c r="R4" s="1"/>
      <c r="S4" s="5" t="s">
        <v>13</v>
      </c>
      <c r="T4" s="5" t="s">
        <v>14</v>
      </c>
      <c r="U4" s="5" t="s">
        <v>15</v>
      </c>
      <c r="V4" s="5" t="s">
        <v>16</v>
      </c>
    </row>
    <row r="5" spans="1:22" ht="15.75" customHeight="1" x14ac:dyDescent="0.25">
      <c r="A5" s="52">
        <v>44961</v>
      </c>
      <c r="B5" s="41">
        <f t="shared" si="0"/>
        <v>0</v>
      </c>
      <c r="C5" s="62"/>
      <c r="D5" s="18"/>
      <c r="E5" s="22"/>
      <c r="F5" s="33"/>
      <c r="G5" s="17"/>
      <c r="H5" s="63"/>
      <c r="I5" s="55" t="str">
        <f t="shared" si="1"/>
        <v/>
      </c>
      <c r="J5" s="31"/>
      <c r="K5" s="56" t="str">
        <f t="shared" si="2"/>
        <v/>
      </c>
      <c r="L5" s="15"/>
      <c r="O5">
        <v>0.1</v>
      </c>
      <c r="P5">
        <v>12000</v>
      </c>
      <c r="R5" s="4" t="s">
        <v>8</v>
      </c>
      <c r="S5" s="57">
        <f>SUM(K5:K33)</f>
        <v>-0.77391388888324864</v>
      </c>
      <c r="T5" s="57">
        <f>MAX(K5:K33)</f>
        <v>2.3958706175972934E-2</v>
      </c>
      <c r="U5" s="57">
        <f>MIN(K5:K33)</f>
        <v>-0.35272537972927248</v>
      </c>
      <c r="V5" s="7">
        <f>AVERAGEIF(K5:K33,"&gt;0")</f>
        <v>2.3958706175972934E-2</v>
      </c>
    </row>
    <row r="6" spans="1:22" ht="15.75" customHeight="1" x14ac:dyDescent="0.25">
      <c r="A6" s="52">
        <v>44962</v>
      </c>
      <c r="B6" s="41">
        <f t="shared" si="0"/>
        <v>0</v>
      </c>
      <c r="C6" s="62"/>
      <c r="D6" s="18"/>
      <c r="E6" s="22"/>
      <c r="F6" s="33"/>
      <c r="G6" s="17"/>
      <c r="H6" s="63"/>
      <c r="I6" s="55" t="str">
        <f t="shared" si="1"/>
        <v/>
      </c>
      <c r="J6" s="31"/>
      <c r="K6" s="56" t="str">
        <f t="shared" si="2"/>
        <v/>
      </c>
      <c r="L6" s="15"/>
      <c r="R6" s="3" t="s">
        <v>10</v>
      </c>
      <c r="S6" s="58">
        <f>SUM(M5:M33)</f>
        <v>0</v>
      </c>
      <c r="T6" s="58">
        <f>MAX(M5:M33)</f>
        <v>0</v>
      </c>
      <c r="U6" s="58">
        <f>MIN(M5:M33)</f>
        <v>0</v>
      </c>
      <c r="V6" s="8" t="e">
        <f>AVERAGEIF(M5:M33,"&gt;0")</f>
        <v>#DIV/0!</v>
      </c>
    </row>
    <row r="7" spans="1:22" ht="15.75" customHeight="1" x14ac:dyDescent="0.25">
      <c r="A7" s="52">
        <v>44963</v>
      </c>
      <c r="B7" s="41">
        <f t="shared" si="0"/>
        <v>0</v>
      </c>
      <c r="C7" s="62"/>
      <c r="D7" s="18"/>
      <c r="E7" s="22"/>
      <c r="F7" s="33"/>
      <c r="G7" s="17"/>
      <c r="H7" s="63"/>
      <c r="I7" s="55" t="str">
        <f t="shared" si="1"/>
        <v/>
      </c>
      <c r="J7" s="31"/>
      <c r="K7" s="56" t="str">
        <f t="shared" si="2"/>
        <v/>
      </c>
      <c r="L7" s="15"/>
      <c r="R7" s="2" t="s">
        <v>17</v>
      </c>
      <c r="S7" s="6" t="s">
        <v>18</v>
      </c>
      <c r="T7" s="2" t="e">
        <f>MAX(#REF!)</f>
        <v>#REF!</v>
      </c>
      <c r="U7" s="2" t="e">
        <f>MIN(#REF!)</f>
        <v>#REF!</v>
      </c>
      <c r="V7" s="2" t="e">
        <f>AVERAGEIF(#REF!, "&gt;0")</f>
        <v>#REF!</v>
      </c>
    </row>
    <row r="8" spans="1:22" ht="15.75" customHeight="1" x14ac:dyDescent="0.25">
      <c r="A8" s="52">
        <v>44964</v>
      </c>
      <c r="B8" s="41">
        <f t="shared" si="0"/>
        <v>0</v>
      </c>
      <c r="C8" s="62"/>
      <c r="D8" s="18"/>
      <c r="E8" s="22"/>
      <c r="F8" s="33"/>
      <c r="G8" s="17"/>
      <c r="H8" s="63"/>
      <c r="I8" s="55" t="str">
        <f t="shared" si="1"/>
        <v/>
      </c>
      <c r="J8" s="31"/>
      <c r="K8" s="56" t="str">
        <f t="shared" si="2"/>
        <v/>
      </c>
      <c r="L8" s="15"/>
      <c r="P8" s="59"/>
    </row>
    <row r="9" spans="1:22" ht="15.75" customHeight="1" x14ac:dyDescent="0.25">
      <c r="A9" s="52">
        <v>44965</v>
      </c>
      <c r="B9" s="41">
        <f t="shared" si="0"/>
        <v>0</v>
      </c>
      <c r="C9" s="62"/>
      <c r="D9" s="18"/>
      <c r="E9" s="22"/>
      <c r="F9" s="33"/>
      <c r="G9" s="17"/>
      <c r="H9" s="63"/>
      <c r="I9" s="55" t="str">
        <f t="shared" si="1"/>
        <v/>
      </c>
      <c r="J9" s="31"/>
      <c r="K9" s="56" t="str">
        <f t="shared" si="2"/>
        <v/>
      </c>
      <c r="L9" s="15"/>
      <c r="O9" s="37"/>
      <c r="P9" s="59"/>
    </row>
    <row r="10" spans="1:22" ht="15.75" customHeight="1" x14ac:dyDescent="0.25">
      <c r="A10" s="52">
        <v>44966</v>
      </c>
      <c r="B10" s="41">
        <f t="shared" si="0"/>
        <v>1.6083333333333335E-2</v>
      </c>
      <c r="C10" s="62" t="s">
        <v>21</v>
      </c>
      <c r="D10" s="18" t="s">
        <v>22</v>
      </c>
      <c r="E10" s="22">
        <v>6.6548188686111116</v>
      </c>
      <c r="F10" s="33">
        <v>3.99</v>
      </c>
      <c r="G10" s="17">
        <v>3.2000000000000001E-2</v>
      </c>
      <c r="H10" s="63"/>
      <c r="I10" s="55">
        <f t="shared" si="1"/>
        <v>6.4121170000000005E-2</v>
      </c>
      <c r="J10" s="31">
        <v>1930</v>
      </c>
      <c r="K10" s="56">
        <f t="shared" si="2"/>
        <v>-3.5726122724196271E-2</v>
      </c>
      <c r="L10" s="15"/>
      <c r="P10" s="60"/>
      <c r="Q10" s="19"/>
      <c r="R10" s="29" t="s">
        <v>19</v>
      </c>
      <c r="S10" s="29" t="s">
        <v>20</v>
      </c>
    </row>
    <row r="11" spans="1:22" ht="15.75" customHeight="1" x14ac:dyDescent="0.25">
      <c r="A11" s="52">
        <v>44967</v>
      </c>
      <c r="B11" s="41">
        <f t="shared" si="0"/>
        <v>3.9166666666666673E-3</v>
      </c>
      <c r="C11" s="62" t="s">
        <v>23</v>
      </c>
      <c r="D11" s="18" t="s">
        <v>24</v>
      </c>
      <c r="E11" s="22">
        <v>1.6333504173611111</v>
      </c>
      <c r="F11" s="33">
        <v>4.1500000000000004</v>
      </c>
      <c r="G11" s="17">
        <v>3.2000000000000001E-2</v>
      </c>
      <c r="H11" s="63"/>
      <c r="I11" s="55">
        <f t="shared" si="1"/>
        <v>4.8273850000000007E-2</v>
      </c>
      <c r="J11" s="31">
        <v>470</v>
      </c>
      <c r="K11" s="56">
        <f t="shared" si="2"/>
        <v>2.3958706175972934E-2</v>
      </c>
      <c r="L11" s="15"/>
      <c r="N11" s="37"/>
      <c r="P11" s="37"/>
      <c r="Q11" s="19"/>
      <c r="R11">
        <v>1.71</v>
      </c>
      <c r="S11">
        <v>39.4</v>
      </c>
    </row>
    <row r="12" spans="1:22" ht="15.75" customHeight="1" x14ac:dyDescent="0.25">
      <c r="A12" s="52">
        <v>44968</v>
      </c>
      <c r="B12" s="41">
        <f t="shared" si="0"/>
        <v>0</v>
      </c>
      <c r="C12" s="62"/>
      <c r="D12" s="18"/>
      <c r="E12" s="22"/>
      <c r="F12" s="33"/>
      <c r="G12" s="17"/>
      <c r="H12" s="63"/>
      <c r="I12" s="55" t="str">
        <f t="shared" si="1"/>
        <v/>
      </c>
      <c r="J12" s="31"/>
      <c r="K12" s="56" t="str">
        <f t="shared" si="2"/>
        <v/>
      </c>
      <c r="L12" s="15"/>
      <c r="N12" s="60"/>
      <c r="P12" s="59"/>
      <c r="Q12" s="19"/>
      <c r="R12" s="59"/>
      <c r="T12" s="72"/>
      <c r="U12" s="73"/>
      <c r="V12" s="21"/>
    </row>
    <row r="13" spans="1:22" ht="15.75" customHeight="1" x14ac:dyDescent="0.25">
      <c r="A13" s="52">
        <v>44969</v>
      </c>
      <c r="B13" s="41">
        <f t="shared" si="0"/>
        <v>1.8833333333333334E-2</v>
      </c>
      <c r="C13" s="62" t="s">
        <v>25</v>
      </c>
      <c r="D13" s="18" t="s">
        <v>26</v>
      </c>
      <c r="E13" s="22">
        <v>7.7909369465277782</v>
      </c>
      <c r="F13" s="33">
        <v>4.1500000000000004</v>
      </c>
      <c r="G13" s="17">
        <v>3.2000000000000001E-2</v>
      </c>
      <c r="H13" s="63"/>
      <c r="I13" s="55">
        <f t="shared" si="1"/>
        <v>9.237345000000001E-2</v>
      </c>
      <c r="J13" s="31">
        <v>2260</v>
      </c>
      <c r="K13" s="56">
        <f t="shared" si="2"/>
        <v>-2.4546177749576972E-2</v>
      </c>
      <c r="L13" s="15"/>
      <c r="P13" s="61"/>
      <c r="Q13" s="19"/>
      <c r="R13" s="59"/>
    </row>
    <row r="14" spans="1:22" ht="15.75" customHeight="1" x14ac:dyDescent="0.25">
      <c r="A14" s="52">
        <v>44970</v>
      </c>
      <c r="B14" s="41">
        <f t="shared" si="0"/>
        <v>3.8583333333333331E-2</v>
      </c>
      <c r="C14" s="62" t="s">
        <v>27</v>
      </c>
      <c r="D14" s="18" t="s">
        <v>28</v>
      </c>
      <c r="E14" s="22">
        <v>15.93456194777778</v>
      </c>
      <c r="F14" s="33">
        <v>3.99</v>
      </c>
      <c r="G14" s="17">
        <v>3.2000000000000001E-2</v>
      </c>
      <c r="H14" s="63"/>
      <c r="I14" s="55">
        <f t="shared" si="1"/>
        <v>0.22151875000000001</v>
      </c>
      <c r="J14" s="31">
        <v>4630</v>
      </c>
      <c r="K14" s="56">
        <f t="shared" si="2"/>
        <v>-1.8011283840947523E-2</v>
      </c>
      <c r="L14" s="15"/>
      <c r="Q14" s="19"/>
      <c r="R14" s="59"/>
    </row>
    <row r="15" spans="1:22" ht="15.75" customHeight="1" x14ac:dyDescent="0.25">
      <c r="A15" s="52">
        <v>44971</v>
      </c>
      <c r="B15" s="41">
        <f t="shared" si="0"/>
        <v>4.1333333333333333E-2</v>
      </c>
      <c r="C15" s="62" t="s">
        <v>29</v>
      </c>
      <c r="D15" s="18" t="s">
        <v>30</v>
      </c>
      <c r="E15" s="22">
        <v>17.059116482916671</v>
      </c>
      <c r="F15" s="33">
        <v>4.1500000000000004</v>
      </c>
      <c r="G15" s="17"/>
      <c r="H15" s="63"/>
      <c r="I15" s="55">
        <f t="shared" si="1"/>
        <v>0.18385745000000003</v>
      </c>
      <c r="J15" s="31">
        <v>4960</v>
      </c>
      <c r="K15" s="56">
        <f t="shared" si="2"/>
        <v>-7.2744918866328223E-2</v>
      </c>
      <c r="L15" s="15"/>
      <c r="P15" s="59"/>
    </row>
    <row r="16" spans="1:22" ht="17.25" customHeight="1" x14ac:dyDescent="0.25">
      <c r="A16" s="52">
        <v>44972</v>
      </c>
      <c r="B16" s="41">
        <f t="shared" si="0"/>
        <v>6.8666666666666668E-2</v>
      </c>
      <c r="C16" s="62" t="s">
        <v>31</v>
      </c>
      <c r="D16" s="18" t="s">
        <v>32</v>
      </c>
      <c r="E16" s="22">
        <v>28.345134234027778</v>
      </c>
      <c r="F16" s="33"/>
      <c r="G16" s="17">
        <v>3.3599999999999998E-2</v>
      </c>
      <c r="H16" s="63"/>
      <c r="I16" s="55">
        <f t="shared" si="1"/>
        <v>0.13217231999999998</v>
      </c>
      <c r="J16" s="31">
        <v>8240</v>
      </c>
      <c r="K16" s="56">
        <f t="shared" si="2"/>
        <v>-0.29411871214890017</v>
      </c>
      <c r="L16" s="15"/>
      <c r="M16" s="37"/>
    </row>
    <row r="17" spans="1:16" ht="15.75" customHeight="1" x14ac:dyDescent="0.25">
      <c r="A17" s="52">
        <v>44973</v>
      </c>
      <c r="B17" s="41">
        <f t="shared" si="0"/>
        <v>8.5583333333333345E-2</v>
      </c>
      <c r="C17" s="62" t="s">
        <v>33</v>
      </c>
      <c r="D17" s="18" t="s">
        <v>34</v>
      </c>
      <c r="E17" s="22">
        <v>35.386928289583331</v>
      </c>
      <c r="F17" s="33"/>
      <c r="G17" s="17">
        <v>3.4299999999999997E-2</v>
      </c>
      <c r="H17" s="63"/>
      <c r="I17" s="55">
        <f t="shared" si="1"/>
        <v>0.17858637999999999</v>
      </c>
      <c r="J17" s="31">
        <v>10270</v>
      </c>
      <c r="K17" s="56">
        <f t="shared" si="2"/>
        <v>-0.35272537972927248</v>
      </c>
      <c r="L17" s="15"/>
    </row>
    <row r="18" spans="1:16" ht="15.75" customHeight="1" x14ac:dyDescent="0.25">
      <c r="A18" s="52">
        <v>44974</v>
      </c>
      <c r="B18" s="41">
        <f t="shared" si="0"/>
        <v>0.10158333333333334</v>
      </c>
      <c r="C18" s="62" t="s">
        <v>35</v>
      </c>
      <c r="D18" s="18" t="s">
        <v>36</v>
      </c>
      <c r="E18" s="22">
        <v>42.154647472291671</v>
      </c>
      <c r="F18" s="33"/>
      <c r="G18" s="17"/>
      <c r="H18" s="63"/>
      <c r="I18" s="55">
        <f t="shared" si="1"/>
        <v>0</v>
      </c>
      <c r="J18" s="31">
        <v>12190</v>
      </c>
      <c r="K18" s="56" t="str">
        <f t="shared" si="2"/>
        <v/>
      </c>
      <c r="L18" s="15"/>
    </row>
    <row r="19" spans="1:16" ht="15.75" customHeight="1" x14ac:dyDescent="0.25">
      <c r="A19" s="52">
        <v>44975</v>
      </c>
      <c r="B19" s="41">
        <f t="shared" si="0"/>
        <v>0.10416666666666669</v>
      </c>
      <c r="C19" s="62" t="s">
        <v>37</v>
      </c>
      <c r="D19" s="18" t="s">
        <v>38</v>
      </c>
      <c r="E19" s="22">
        <v>42.881282256944438</v>
      </c>
      <c r="F19" s="33"/>
      <c r="G19" s="17"/>
      <c r="H19" s="63"/>
      <c r="I19" s="55">
        <f t="shared" si="1"/>
        <v>0</v>
      </c>
      <c r="J19" s="31">
        <v>12500</v>
      </c>
      <c r="K19" s="56" t="str">
        <f t="shared" si="2"/>
        <v/>
      </c>
      <c r="L19" s="32"/>
    </row>
    <row r="20" spans="1:16" ht="15.75" customHeight="1" x14ac:dyDescent="0.25">
      <c r="A20" s="52">
        <v>44976</v>
      </c>
      <c r="B20" s="41">
        <f t="shared" si="0"/>
        <v>9.4666666666666677E-2</v>
      </c>
      <c r="C20" s="62" t="s">
        <v>39</v>
      </c>
      <c r="D20" s="18" t="s">
        <v>40</v>
      </c>
      <c r="E20" s="22">
        <v>38.969356204999997</v>
      </c>
      <c r="F20" s="33"/>
      <c r="G20" s="17"/>
      <c r="H20" s="63"/>
      <c r="I20" s="55">
        <f t="shared" si="1"/>
        <v>0</v>
      </c>
      <c r="J20" s="31">
        <v>11360</v>
      </c>
      <c r="K20" s="56" t="str">
        <f t="shared" si="2"/>
        <v/>
      </c>
      <c r="L20" s="15"/>
      <c r="P20" s="59"/>
    </row>
    <row r="21" spans="1:16" ht="15.75" customHeight="1" x14ac:dyDescent="0.25">
      <c r="A21" s="52">
        <v>44977</v>
      </c>
      <c r="B21" s="41">
        <f t="shared" si="0"/>
        <v>9.583333333333334E-2</v>
      </c>
      <c r="C21" s="62" t="s">
        <v>41</v>
      </c>
      <c r="D21" s="18" t="s">
        <v>42</v>
      </c>
      <c r="E21" s="22">
        <v>40.369999999999997</v>
      </c>
      <c r="F21" s="33"/>
      <c r="G21" s="17"/>
      <c r="H21" s="63"/>
      <c r="I21" s="55">
        <f t="shared" si="1"/>
        <v>0</v>
      </c>
      <c r="J21" s="31">
        <v>11500</v>
      </c>
      <c r="K21" s="56" t="str">
        <f t="shared" si="2"/>
        <v/>
      </c>
      <c r="L21" s="15"/>
    </row>
    <row r="22" spans="1:16" ht="15.75" customHeight="1" x14ac:dyDescent="0.25">
      <c r="A22" s="52">
        <v>44978</v>
      </c>
      <c r="B22" s="41">
        <f t="shared" si="0"/>
        <v>4.8750000000000002E-2</v>
      </c>
      <c r="C22" s="62" t="s">
        <v>43</v>
      </c>
      <c r="D22" s="18" t="s">
        <v>44</v>
      </c>
      <c r="E22" s="22">
        <v>20.54</v>
      </c>
      <c r="F22" s="33"/>
      <c r="G22" s="17"/>
      <c r="H22" s="63"/>
      <c r="I22" s="55">
        <f t="shared" si="1"/>
        <v>0</v>
      </c>
      <c r="J22" s="31">
        <v>5850</v>
      </c>
      <c r="K22" s="56"/>
      <c r="L22" s="15"/>
      <c r="P22" s="59"/>
    </row>
    <row r="23" spans="1:16" ht="15.75" customHeight="1" x14ac:dyDescent="0.25">
      <c r="A23" s="52">
        <v>44979</v>
      </c>
      <c r="B23" s="41">
        <f t="shared" si="0"/>
        <v>6.483333333333334E-2</v>
      </c>
      <c r="C23" s="62" t="s">
        <v>45</v>
      </c>
      <c r="D23" s="18" t="s">
        <v>46</v>
      </c>
      <c r="E23" s="22">
        <v>27.32</v>
      </c>
      <c r="F23" s="33"/>
      <c r="G23" s="17"/>
      <c r="H23" s="63"/>
      <c r="I23" s="55">
        <f t="shared" si="1"/>
        <v>0</v>
      </c>
      <c r="J23" s="31">
        <v>7780</v>
      </c>
      <c r="K23" s="56"/>
      <c r="L23" s="15"/>
    </row>
    <row r="24" spans="1:16" ht="15.75" customHeight="1" x14ac:dyDescent="0.25">
      <c r="A24" s="52">
        <v>44980</v>
      </c>
      <c r="B24" s="41">
        <f t="shared" si="0"/>
        <v>0</v>
      </c>
      <c r="C24" s="62"/>
      <c r="D24" s="18"/>
      <c r="E24" s="22"/>
      <c r="F24" s="33"/>
      <c r="G24" s="17"/>
      <c r="H24" s="63"/>
      <c r="I24" s="55" t="str">
        <f t="shared" si="1"/>
        <v/>
      </c>
      <c r="J24" s="31"/>
      <c r="K24" s="56" t="str">
        <f t="shared" ref="K24:K29" si="3">IF(OR(F24&gt;0,G24&gt;0,H24&gt;0),I24-(J24/1000*($R$11/$S$11)+B24),"")</f>
        <v/>
      </c>
      <c r="L24" s="15"/>
    </row>
    <row r="25" spans="1:16" ht="15.75" customHeight="1" x14ac:dyDescent="0.25">
      <c r="A25" s="52">
        <v>44981</v>
      </c>
      <c r="B25" s="41">
        <f t="shared" si="0"/>
        <v>0</v>
      </c>
      <c r="C25" s="62"/>
      <c r="D25" s="18"/>
      <c r="E25" s="22"/>
      <c r="F25" s="33"/>
      <c r="G25" s="17"/>
      <c r="H25" s="63"/>
      <c r="I25" s="55" t="str">
        <f t="shared" si="1"/>
        <v/>
      </c>
      <c r="J25" s="31"/>
      <c r="K25" s="56" t="str">
        <f t="shared" si="3"/>
        <v/>
      </c>
      <c r="L25" s="15"/>
      <c r="P25" s="59"/>
    </row>
    <row r="26" spans="1:16" ht="15.75" customHeight="1" x14ac:dyDescent="0.25">
      <c r="A26" s="52">
        <v>44982</v>
      </c>
      <c r="B26" s="41">
        <f t="shared" si="0"/>
        <v>0</v>
      </c>
      <c r="C26" s="62"/>
      <c r="D26" s="18"/>
      <c r="E26" s="22"/>
      <c r="F26" s="33"/>
      <c r="G26" s="17"/>
      <c r="H26" s="63"/>
      <c r="I26" s="55" t="str">
        <f t="shared" si="1"/>
        <v/>
      </c>
      <c r="J26" s="31"/>
      <c r="K26" s="56" t="str">
        <f t="shared" si="3"/>
        <v/>
      </c>
      <c r="L26" s="15"/>
    </row>
    <row r="27" spans="1:16" ht="15.75" customHeight="1" x14ac:dyDescent="0.25">
      <c r="A27" s="52">
        <v>44983</v>
      </c>
      <c r="B27" s="41">
        <f t="shared" si="0"/>
        <v>0</v>
      </c>
      <c r="C27" s="62"/>
      <c r="D27" s="18"/>
      <c r="E27" s="22"/>
      <c r="F27" s="33"/>
      <c r="G27" s="17"/>
      <c r="H27" s="63"/>
      <c r="I27" s="55" t="str">
        <f t="shared" si="1"/>
        <v/>
      </c>
      <c r="J27" s="31"/>
      <c r="K27" s="56" t="str">
        <f t="shared" si="3"/>
        <v/>
      </c>
      <c r="L27" s="15"/>
    </row>
    <row r="28" spans="1:16" ht="15.75" customHeight="1" x14ac:dyDescent="0.25">
      <c r="A28" s="52">
        <v>44984</v>
      </c>
      <c r="B28" s="41">
        <f t="shared" si="0"/>
        <v>0</v>
      </c>
      <c r="C28" s="62"/>
      <c r="D28" s="18"/>
      <c r="E28" s="22"/>
      <c r="F28" s="33"/>
      <c r="G28" s="17"/>
      <c r="H28" s="63"/>
      <c r="I28" s="55" t="str">
        <f t="shared" si="1"/>
        <v/>
      </c>
      <c r="J28" s="31"/>
      <c r="K28" s="56" t="str">
        <f t="shared" si="3"/>
        <v/>
      </c>
      <c r="L28" s="15"/>
    </row>
    <row r="29" spans="1:16" ht="15.75" customHeight="1" x14ac:dyDescent="0.25">
      <c r="A29" s="52">
        <v>44985</v>
      </c>
      <c r="B29" s="41">
        <f t="shared" si="0"/>
        <v>0</v>
      </c>
      <c r="C29" s="62"/>
      <c r="D29" s="18"/>
      <c r="E29" s="22"/>
      <c r="F29" s="33"/>
      <c r="G29" s="17"/>
      <c r="H29" s="63"/>
      <c r="I29" s="55" t="str">
        <f t="shared" si="1"/>
        <v/>
      </c>
      <c r="J29" s="31"/>
      <c r="K29" s="56" t="str">
        <f t="shared" si="3"/>
        <v/>
      </c>
      <c r="L29" s="15"/>
    </row>
    <row r="33" spans="3:14" ht="15.75" customHeight="1" x14ac:dyDescent="0.25">
      <c r="C33" s="10"/>
      <c r="D33" s="35"/>
      <c r="E33" s="68"/>
      <c r="F33" s="20"/>
      <c r="G33" s="20"/>
      <c r="H33" s="9"/>
      <c r="I33" s="9"/>
      <c r="J33" s="9"/>
      <c r="K33" s="69"/>
      <c r="L33" s="36"/>
      <c r="M33" s="70"/>
      <c r="N33" s="9"/>
    </row>
  </sheetData>
  <mergeCells count="1">
    <mergeCell ref="T12:U1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January</vt:lpstr>
      <vt:lpstr>February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MerFon MRF</dc:creator>
  <cp:lastModifiedBy>MerFon MRF</cp:lastModifiedBy>
  <dcterms:created xsi:type="dcterms:W3CDTF">2021-11-07T06:51:25Z</dcterms:created>
  <dcterms:modified xsi:type="dcterms:W3CDTF">2023-02-23T18:07:47Z</dcterms:modified>
</cp:coreProperties>
</file>