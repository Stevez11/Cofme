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package/2006/relationships/metadata/core-properties" Target="docProps/core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fileVersion appName="xl" lastEdited="7" lowestEdited="7" rupBuild="20827"/>
  <workbookPr defaultThemeVersion="166925"/>
  <bookViews>
    <workbookView xWindow="0" yWindow="-7936" windowWidth="20490" windowHeight="7140" activeTab="1"/>
  </bookViews>
  <sheets>
    <sheet name="January" sheetId="1" r:id="rId1"/>
    <sheet name="February" sheetId="2" r:id="rId2"/>
  </sheets>
  <definedNames/>
  <calcPr calcId="179021" calcMode="manual"/>
</workbook>
</file>

<file path=xl/sharedStrings.xml><?xml version="1.0" encoding="utf-8"?>
<sst xmlns="http://schemas.openxmlformats.org/spreadsheetml/2006/main" uniqueCount="49" count="49">
  <si>
    <t>Датта</t>
  </si>
  <si>
    <t>rave fee</t>
  </si>
  <si>
    <t>COIN 1</t>
  </si>
  <si>
    <t>COIN 2</t>
  </si>
  <si>
    <t>COIN 3</t>
  </si>
  <si>
    <t>Курс coin 1</t>
  </si>
  <si>
    <t>Курс coin 2</t>
  </si>
  <si>
    <t>Курс coin 3</t>
  </si>
  <si>
    <t>Выручка</t>
  </si>
  <si>
    <t>Потребление</t>
  </si>
  <si>
    <t>Чистыми</t>
  </si>
  <si>
    <t>Примечание</t>
  </si>
  <si>
    <t>макс. Потребление</t>
  </si>
  <si>
    <t>В общем</t>
  </si>
  <si>
    <t>Максимум</t>
  </si>
  <si>
    <t>Минимум</t>
  </si>
  <si>
    <t>В среднем</t>
  </si>
  <si>
    <t>Хешрейт</t>
  </si>
  <si>
    <t>-</t>
  </si>
  <si>
    <t>cost energy UAH</t>
  </si>
  <si>
    <t>USDT/UAH</t>
  </si>
  <si>
    <t>0,011803</t>
  </si>
  <si>
    <t>0,5321</t>
  </si>
  <si>
    <t>0,009383</t>
  </si>
  <si>
    <t>0,2917</t>
  </si>
  <si>
    <t>0,015231</t>
  </si>
  <si>
    <t>0,9114</t>
  </si>
  <si>
    <t>0,040205</t>
  </si>
  <si>
    <t>1,9094</t>
  </si>
  <si>
    <t>0,044303</t>
  </si>
  <si>
    <t>2,5501</t>
  </si>
  <si>
    <t>0,077959</t>
  </si>
  <si>
    <t>3,9337</t>
  </si>
  <si>
    <t>0,091954</t>
  </si>
  <si>
    <t>5,2066</t>
  </si>
  <si>
    <t>0,107400</t>
  </si>
  <si>
    <t>5,4046</t>
  </si>
  <si>
    <t>0,116367</t>
  </si>
  <si>
    <t>5,2127</t>
  </si>
  <si>
    <t>0,114086</t>
  </si>
  <si>
    <t>5,4628</t>
  </si>
  <si>
    <t>0,120308</t>
  </si>
  <si>
    <t>6,0764</t>
  </si>
  <si>
    <t>0,064965</t>
  </si>
  <si>
    <t>3,3224</t>
  </si>
  <si>
    <t>0,072639</t>
  </si>
  <si>
    <t>3,4469</t>
  </si>
  <si>
    <t>0,109409</t>
  </si>
  <si>
    <t>5,8208</t>
  </si>
</sst>
</file>

<file path=xl/styles.xml><?xml version="1.0" encoding="utf-8"?>
<styleSheet xmlns="http://schemas.openxmlformats.org/spreadsheetml/2006/main">
  <numFmts count="9">
    <numFmt numFmtId="0" formatCode="General"/>
    <numFmt numFmtId="14" formatCode="dd\.mm\.yyyy"/>
    <numFmt numFmtId="2" formatCode="0.00"/>
    <numFmt numFmtId="165" formatCode="0.0000"/>
    <numFmt numFmtId="166" formatCode="0.00000"/>
    <numFmt numFmtId="167" formatCode="_-[$$-409]* #,##0.00_ ;_-[$$-409]* \-#,##0.00\ ;_-[$$-409]* &quot;-&quot;??_ ;_-@_ "/>
    <numFmt numFmtId="1" formatCode="0"/>
    <numFmt numFmtId="168" formatCode="0.000"/>
    <numFmt numFmtId="164" formatCode="_-* #,##0.00\ &quot;₽&quot;_-;\-* #,##0.00\ &quot;₽&quot;_-;_-* &quot;-&quot;??\ &quot;₽&quot;_-;_-@_-"/>
  </numFmts>
  <fonts count="8">
    <font>
      <name val="Calibri"/>
      <sz val="11"/>
    </font>
    <font>
      <name val="Calibri"/>
      <charset val="204"/>
      <sz val="11"/>
      <color rgb="FF000000"/>
    </font>
    <font>
      <name val="Comic Sans MS"/>
      <b/>
      <charset val="204"/>
      <sz val="13"/>
      <color rgb="FF000000"/>
    </font>
    <font>
      <name val="Calibri"/>
      <charset val="204"/>
      <sz val="12"/>
      <color rgb="FF000000"/>
    </font>
    <font>
      <name val="Calibri"/>
      <b/>
      <charset val="204"/>
      <sz val="11"/>
      <color rgb="FF000000"/>
    </font>
    <font>
      <name val="Calibri"/>
      <charset val="204"/>
      <sz val="10"/>
      <color rgb="FF000000"/>
    </font>
    <font>
      <name val="Calibri"/>
      <charset val="204"/>
      <sz val="11"/>
      <color rgb="FFFF0000"/>
    </font>
    <font>
      <name val="Calibri"/>
      <charset val="204"/>
      <sz val="11"/>
      <color rgb="FF000000"/>
    </font>
  </fonts>
  <fills count="13">
    <fill>
      <patternFill patternType="none"/>
    </fill>
    <fill>
      <patternFill patternType="gray125"/>
    </fill>
    <fill>
      <patternFill patternType="solid">
        <fgColor rgb="FFFFF2CB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CFCDCD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E6E4E4"/>
        <bgColor indexed="64"/>
      </patternFill>
    </fill>
    <fill>
      <patternFill patternType="solid">
        <fgColor rgb="FFA8D08E"/>
        <bgColor indexed="64"/>
      </patternFill>
    </fill>
    <fill>
      <patternFill patternType="solid">
        <fgColor rgb="FFC5E0B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DC3E5"/>
        <bgColor indexed="64"/>
      </patternFill>
    </fill>
    <fill>
      <patternFill patternType="solid">
        <fgColor rgb="FFBED7EE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164" fontId="7" fillId="0" borderId="0">
      <alignment vertical="bottom"/>
      <protection locked="0" hidden="0"/>
    </xf>
  </cellStyleXfs>
  <cellXfs count="74">
    <xf numFmtId="0" fontId="0" fillId="0" borderId="0" xfId="0">
      <alignment vertical="center"/>
    </xf>
    <xf numFmtId="0" fontId="1" fillId="0" borderId="0" xfId="0" applyAlignment="1">
      <alignment vertical="bottom"/>
    </xf>
    <xf numFmtId="0" fontId="2" fillId="2" borderId="1" xfId="0" applyFont="1" applyFill="1" applyBorder="1" applyAlignment="1">
      <alignment horizontal="left" vertical="top"/>
    </xf>
    <xf numFmtId="0" fontId="2" fillId="3" borderId="2" xfId="0" applyFont="1" applyFill="1" applyBorder="1" applyAlignment="1">
      <alignment horizontal="left" vertical="top"/>
    </xf>
    <xf numFmtId="0" fontId="2" fillId="3" borderId="3" xfId="0" applyFont="1" applyFill="1" applyBorder="1" applyAlignment="1">
      <alignment horizontal="left" vertical="top"/>
    </xf>
    <xf numFmtId="0" fontId="2" fillId="3" borderId="4" xfId="0" applyFont="1" applyFill="1" applyBorder="1" applyAlignment="1">
      <alignment horizontal="left" vertical="top"/>
    </xf>
    <xf numFmtId="0" fontId="2" fillId="3" borderId="5" xfId="0" applyFont="1" applyFill="1" applyBorder="1" applyAlignment="1">
      <alignment horizontal="left" vertical="top"/>
    </xf>
    <xf numFmtId="0" fontId="2" fillId="3" borderId="6" xfId="0" applyFont="1" applyFill="1" applyBorder="1" applyAlignment="1">
      <alignment horizontal="left" vertical="top"/>
    </xf>
    <xf numFmtId="0" fontId="2" fillId="3" borderId="7" xfId="0" applyFont="1" applyFill="1" applyBorder="1" applyAlignment="1">
      <alignment horizontal="left" vertical="top"/>
    </xf>
    <xf numFmtId="14" fontId="1" fillId="2" borderId="8" xfId="0" applyNumberFormat="1" applyFill="1" applyBorder="1" applyAlignment="1">
      <alignment horizontal="left" vertical="top"/>
    </xf>
    <xf numFmtId="2" fontId="1" fillId="4" borderId="9" xfId="0" applyNumberFormat="1" applyFill="1" applyBorder="1" applyAlignment="1">
      <alignment horizontal="left" vertical="top"/>
    </xf>
    <xf numFmtId="165" fontId="3" fillId="5" borderId="10" xfId="0" applyNumberFormat="1" applyFont="1" applyFill="1" applyBorder="1" applyAlignment="1">
      <alignment horizontal="left" vertical="top" wrapText="1"/>
    </xf>
    <xf numFmtId="2" fontId="3" fillId="5" borderId="10" xfId="0" applyNumberFormat="1" applyFont="1" applyFill="1" applyBorder="1" applyAlignment="1">
      <alignment horizontal="left" vertical="top"/>
    </xf>
    <xf numFmtId="0" fontId="3" fillId="5" borderId="10" xfId="0" applyFont="1" applyFill="1" applyBorder="1" applyAlignment="1">
      <alignment horizontal="left" vertical="top"/>
    </xf>
    <xf numFmtId="166" fontId="3" fillId="5" borderId="10" xfId="0" applyNumberFormat="1" applyFont="1" applyFill="1" applyBorder="1" applyAlignment="1">
      <alignment horizontal="left" vertical="top"/>
    </xf>
    <xf numFmtId="167" fontId="3" fillId="3" borderId="10" xfId="1" applyNumberFormat="1" applyFont="1" applyFill="1" applyBorder="1" applyAlignment="1">
      <alignment horizontal="left" vertical="top"/>
    </xf>
    <xf numFmtId="1" fontId="3" fillId="3" borderId="11" xfId="1" applyNumberFormat="1" applyFont="1" applyFill="1" applyBorder="1" applyAlignment="1">
      <alignment horizontal="center" vertical="center"/>
    </xf>
    <xf numFmtId="167" fontId="3" fillId="3" borderId="10" xfId="0" applyNumberFormat="1" applyFont="1" applyFill="1" applyBorder="1" applyAlignment="1">
      <alignment horizontal="left" vertical="top"/>
    </xf>
    <xf numFmtId="0" fontId="3" fillId="3" borderId="12" xfId="0" applyFont="1" applyFill="1" applyBorder="1" applyAlignment="1">
      <alignment horizontal="left" vertical="top"/>
    </xf>
    <xf numFmtId="14" fontId="1" fillId="2" borderId="13" xfId="0" applyNumberFormat="1" applyFill="1" applyBorder="1" applyAlignment="1">
      <alignment horizontal="left" vertical="top"/>
    </xf>
    <xf numFmtId="1" fontId="3" fillId="3" borderId="10" xfId="1" applyNumberFormat="1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left" vertical="top"/>
    </xf>
    <xf numFmtId="0" fontId="1" fillId="0" borderId="10" xfId="0" applyBorder="1" applyAlignment="1">
      <alignment vertical="bottom"/>
    </xf>
    <xf numFmtId="0" fontId="1" fillId="6" borderId="10" xfId="0" applyFill="1" applyBorder="1" applyAlignment="1">
      <alignment vertical="bottom"/>
    </xf>
    <xf numFmtId="0" fontId="1" fillId="7" borderId="10" xfId="0" applyFill="1" applyBorder="1" applyAlignment="1">
      <alignment vertical="bottom"/>
    </xf>
    <xf numFmtId="167" fontId="1" fillId="7" borderId="10" xfId="0" applyNumberFormat="1" applyFill="1" applyBorder="1" applyAlignment="1">
      <alignment vertical="bottom"/>
    </xf>
    <xf numFmtId="2" fontId="1" fillId="7" borderId="10" xfId="0" applyNumberFormat="1" applyFill="1" applyBorder="1" applyAlignment="1">
      <alignment vertical="bottom"/>
    </xf>
    <xf numFmtId="0" fontId="1" fillId="8" borderId="10" xfId="0" applyFill="1" applyBorder="1" applyAlignment="1">
      <alignment vertical="bottom"/>
    </xf>
    <xf numFmtId="167" fontId="1" fillId="8" borderId="10" xfId="0" applyNumberFormat="1" applyFill="1" applyBorder="1" applyAlignment="1">
      <alignment vertical="bottom"/>
    </xf>
    <xf numFmtId="2" fontId="1" fillId="8" borderId="10" xfId="0" applyNumberFormat="1" applyFill="1" applyBorder="1" applyAlignment="1">
      <alignment vertical="bottom"/>
    </xf>
    <xf numFmtId="0" fontId="1" fillId="9" borderId="10" xfId="0" applyFill="1" applyBorder="1" applyAlignment="1">
      <alignment vertical="bottom"/>
    </xf>
    <xf numFmtId="0" fontId="1" fillId="9" borderId="10" xfId="0" applyFill="1" applyBorder="1" applyAlignment="1">
      <alignment horizontal="center" vertical="center"/>
    </xf>
    <xf numFmtId="166" fontId="1" fillId="0" borderId="0" xfId="0" applyNumberFormat="1" applyAlignment="1">
      <alignment vertical="bottom"/>
    </xf>
    <xf numFmtId="2" fontId="1" fillId="0" borderId="0" xfId="0" applyNumberFormat="1" applyAlignment="1">
      <alignment vertical="bottom"/>
    </xf>
    <xf numFmtId="165" fontId="1" fillId="0" borderId="0" xfId="0" applyNumberFormat="1" applyAlignment="1">
      <alignment vertical="bottom"/>
    </xf>
    <xf numFmtId="0" fontId="4" fillId="0" borderId="0" xfId="0" applyFont="1" applyAlignment="1">
      <alignment vertical="bottom"/>
    </xf>
    <xf numFmtId="0" fontId="5" fillId="0" borderId="0" xfId="0" applyFont="1" applyAlignment="1">
      <alignment vertical="bottom"/>
    </xf>
    <xf numFmtId="0" fontId="1" fillId="0" borderId="0" xfId="0" applyAlignment="1">
      <alignment horizontal="center" vertical="bottom"/>
    </xf>
    <xf numFmtId="0" fontId="1" fillId="0" borderId="0" xfId="0" applyAlignment="1">
      <alignment vertical="bottom"/>
    </xf>
    <xf numFmtId="1" fontId="1" fillId="0" borderId="0" xfId="0" applyNumberFormat="1" applyAlignment="1">
      <alignment vertical="bottom"/>
    </xf>
    <xf numFmtId="165" fontId="6" fillId="0" borderId="0" xfId="0" applyNumberFormat="1" applyFont="1" applyAlignment="1">
      <alignment vertical="bottom"/>
    </xf>
    <xf numFmtId="165" fontId="3" fillId="10" borderId="10" xfId="0" applyNumberFormat="1" applyFont="1" applyFill="1" applyBorder="1" applyAlignment="1">
      <alignment horizontal="left" vertical="top" wrapText="1"/>
    </xf>
    <xf numFmtId="2" fontId="3" fillId="11" borderId="10" xfId="0" applyNumberFormat="1" applyFont="1" applyFill="1" applyBorder="1" applyAlignment="1">
      <alignment horizontal="left" vertical="top"/>
    </xf>
    <xf numFmtId="2" fontId="3" fillId="12" borderId="10" xfId="0" applyNumberFormat="1" applyFont="1" applyFill="1" applyBorder="1" applyAlignment="1">
      <alignment horizontal="left" vertical="top"/>
    </xf>
    <xf numFmtId="0" fontId="3" fillId="10" borderId="10" xfId="0" applyFont="1" applyFill="1" applyBorder="1" applyAlignment="1">
      <alignment horizontal="left" vertical="top"/>
    </xf>
    <xf numFmtId="0" fontId="3" fillId="11" borderId="10" xfId="0" applyFont="1" applyFill="1" applyBorder="1" applyAlignment="1">
      <alignment horizontal="left" vertical="top"/>
    </xf>
    <xf numFmtId="166" fontId="3" fillId="12" borderId="10" xfId="0" applyNumberFormat="1" applyFont="1" applyFill="1" applyBorder="1" applyAlignment="1">
      <alignment horizontal="left" vertical="top"/>
    </xf>
    <xf numFmtId="0" fontId="3" fillId="3" borderId="14" xfId="0" applyFont="1" applyFill="1" applyBorder="1" applyAlignment="1">
      <alignment horizontal="left" vertical="top" indent="1"/>
    </xf>
    <xf numFmtId="0" fontId="3" fillId="3" borderId="10" xfId="0" applyFont="1" applyFill="1" applyBorder="1" applyAlignment="1">
      <alignment horizontal="left" vertical="top"/>
    </xf>
    <xf numFmtId="0" fontId="3" fillId="3" borderId="10" xfId="1" applyNumberFormat="1" applyFont="1" applyFill="1" applyBorder="1" applyAlignment="1">
      <alignment horizontal="center" vertical="center"/>
    </xf>
    <xf numFmtId="14" fontId="1" fillId="2" borderId="15" xfId="0" applyNumberFormat="1" applyFill="1" applyBorder="1" applyAlignment="1">
      <alignment horizontal="left" vertical="top"/>
    </xf>
    <xf numFmtId="165" fontId="3" fillId="10" borderId="16" xfId="0" applyNumberFormat="1" applyFont="1" applyFill="1" applyBorder="1" applyAlignment="1">
      <alignment horizontal="left" vertical="top" wrapText="1"/>
    </xf>
    <xf numFmtId="2" fontId="3" fillId="11" borderId="16" xfId="0" applyNumberFormat="1" applyFont="1" applyFill="1" applyBorder="1" applyAlignment="1">
      <alignment horizontal="left" vertical="top"/>
    </xf>
    <xf numFmtId="2" fontId="3" fillId="12" borderId="16" xfId="0" applyNumberFormat="1" applyFont="1" applyFill="1" applyBorder="1" applyAlignment="1">
      <alignment horizontal="left" vertical="top"/>
    </xf>
    <xf numFmtId="0" fontId="3" fillId="10" borderId="16" xfId="0" applyFont="1" applyFill="1" applyBorder="1" applyAlignment="1">
      <alignment horizontal="left" vertical="top"/>
    </xf>
    <xf numFmtId="0" fontId="3" fillId="11" borderId="16" xfId="0" applyFont="1" applyFill="1" applyBorder="1" applyAlignment="1">
      <alignment horizontal="left" vertical="top"/>
    </xf>
    <xf numFmtId="166" fontId="3" fillId="12" borderId="17" xfId="0" applyNumberFormat="1" applyFont="1" applyFill="1" applyBorder="1" applyAlignment="1">
      <alignment horizontal="left" vertical="top"/>
    </xf>
    <xf numFmtId="1" fontId="3" fillId="3" borderId="16" xfId="1" applyNumberFormat="1" applyFont="1" applyFill="1" applyBorder="1" applyAlignment="1">
      <alignment horizontal="center" vertical="center"/>
    </xf>
    <xf numFmtId="0" fontId="3" fillId="3" borderId="18" xfId="0" applyFont="1" applyFill="1" applyBorder="1" applyAlignment="1">
      <alignment horizontal="left" vertical="top"/>
    </xf>
    <xf numFmtId="14" fontId="1" fillId="2" borderId="10" xfId="0" applyNumberFormat="1" applyFill="1" applyBorder="1" applyAlignment="1">
      <alignment horizontal="left" vertical="top"/>
    </xf>
    <xf numFmtId="168" fontId="3" fillId="10" borderId="19" xfId="0" applyNumberFormat="1" applyFont="1" applyFill="1" applyBorder="1" applyAlignment="1">
      <alignment horizontal="left" vertical="top" wrapText="1"/>
    </xf>
    <xf numFmtId="2" fontId="3" fillId="11" borderId="19" xfId="0" applyNumberFormat="1" applyFont="1" applyFill="1" applyBorder="1" applyAlignment="1">
      <alignment horizontal="left" vertical="top"/>
    </xf>
    <xf numFmtId="2" fontId="3" fillId="12" borderId="19" xfId="0" applyNumberFormat="1" applyFont="1" applyFill="1" applyBorder="1" applyAlignment="1">
      <alignment horizontal="left" vertical="top"/>
    </xf>
    <xf numFmtId="0" fontId="3" fillId="10" borderId="11" xfId="0" applyFont="1" applyFill="1" applyBorder="1" applyAlignment="1">
      <alignment horizontal="left" vertical="top"/>
    </xf>
    <xf numFmtId="0" fontId="3" fillId="11" borderId="19" xfId="0" applyFont="1" applyFill="1" applyBorder="1" applyAlignment="1">
      <alignment horizontal="left" vertical="top"/>
    </xf>
    <xf numFmtId="166" fontId="3" fillId="12" borderId="19" xfId="0" applyNumberFormat="1" applyFont="1" applyFill="1" applyBorder="1" applyAlignment="1">
      <alignment horizontal="left" vertical="top"/>
    </xf>
    <xf numFmtId="14" fontId="1" fillId="0" borderId="0" xfId="0" applyNumberFormat="1" applyAlignment="1">
      <alignment horizontal="left" vertical="top"/>
    </xf>
    <xf numFmtId="2" fontId="1" fillId="0" borderId="0" xfId="0" applyNumberFormat="1" applyAlignment="1">
      <alignment horizontal="left" vertical="top"/>
    </xf>
    <xf numFmtId="165" fontId="3" fillId="0" borderId="0" xfId="0" applyNumberFormat="1" applyFont="1" applyAlignment="1">
      <alignment horizontal="left" vertical="top" wrapText="1"/>
    </xf>
    <xf numFmtId="2" fontId="3" fillId="0" borderId="0" xfId="0" applyNumberFormat="1" applyFont="1" applyAlignment="1">
      <alignment horizontal="left" vertical="top"/>
    </xf>
    <xf numFmtId="0" fontId="3" fillId="0" borderId="0" xfId="0" applyFont="1" applyAlignment="1">
      <alignment horizontal="left" vertical="top"/>
    </xf>
    <xf numFmtId="167" fontId="3" fillId="0" borderId="0" xfId="1" applyNumberFormat="1" applyFont="1" applyAlignment="1">
      <alignment horizontal="left" vertical="top"/>
    </xf>
    <xf numFmtId="1" fontId="3" fillId="0" borderId="0" xfId="1" applyNumberFormat="1" applyFont="1" applyAlignment="1">
      <alignment horizontal="center" vertical="center"/>
    </xf>
    <xf numFmtId="167" fontId="3" fillId="0" borderId="0" xfId="0" applyNumberFormat="1" applyFont="1" applyAlignment="1">
      <alignment horizontal="left" vertical="top"/>
    </xf>
  </cellXfs>
  <cellStyles count="2">
    <cellStyle name="常规" xfId="0" builtinId="0"/>
    <cellStyle name="货币" xfId="1" builtinId="4"/>
  </cellStyles>
  <dxfs count="0"/>
  <tableStyles defaultTableStyle="TableStyleMedium2" defaultPivotStyle="PivotStyleLight16" count="0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www.wps.cn/officeDocument/2020/cellImage" Target="cellimages.xml"/><Relationship Id="rId4" Type="http://schemas.openxmlformats.org/officeDocument/2006/relationships/sharedStrings" Target="sharedStrings.xml"/><Relationship Id="rId5" Type="http://schemas.openxmlformats.org/officeDocument/2006/relationships/styles" Target="styles.xml"/><Relationship Id="rId6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:r="http://schemas.openxmlformats.org/officeDocument/2006/relationships" xmlns="http://schemas.openxmlformats.org/spreadsheetml/2006/main">
  <dimension ref="A1:W32"/>
  <sheetViews>
    <sheetView workbookViewId="0" zoomScale="70">
      <selection activeCell="N22" sqref="N22"/>
    </sheetView>
  </sheetViews>
  <sheetFormatPr defaultRowHeight="15.0" defaultColWidth="10"/>
  <cols>
    <col min="1" max="1" customWidth="1" width="9.855469" style="1"/>
    <col min="3" max="3" customWidth="1" bestFit="1" width="11.140625" style="1"/>
    <col min="4" max="4" customWidth="1" width="12.0" style="1"/>
    <col min="5" max="7" customWidth="1" width="14.5703125" style="1"/>
    <col min="8" max="8" customWidth="1" width="15.855469" style="1"/>
    <col min="9" max="10" customWidth="1" width="14.140625" style="1"/>
    <col min="11" max="11" customWidth="1" width="12.5703125" style="1"/>
    <col min="12" max="12" customWidth="1" width="17.140625" style="1"/>
    <col min="13" max="13" customWidth="1" width="12.140625" style="1"/>
    <col min="14" max="14" customWidth="1" width="37.0" style="1"/>
    <col min="16" max="16" customWidth="1" width="13.0" style="1"/>
    <col min="18" max="18" customWidth="1" width="14.140625" style="1"/>
    <col min="19" max="19" customWidth="1" width="9.425781" style="1"/>
    <col min="20" max="20" customWidth="1" width="11.285156" style="1"/>
    <col min="21" max="21" customWidth="1" width="10.7109375" style="1"/>
    <col min="22" max="22" customWidth="1" width="11.140625" style="1"/>
  </cols>
  <sheetData>
    <row r="1" spans="8:8" ht="21.75" customHeight="1">
      <c r="A1" s="2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5" t="s">
        <v>6</v>
      </c>
      <c r="H1" s="5" t="s">
        <v>7</v>
      </c>
      <c r="I1" s="6" t="s">
        <v>8</v>
      </c>
      <c r="J1" s="4" t="s">
        <v>9</v>
      </c>
      <c r="K1" s="7" t="s">
        <v>10</v>
      </c>
      <c r="L1" s="8" t="s">
        <v>11</v>
      </c>
    </row>
    <row r="2" spans="8:8" ht="15.75" customHeight="1">
      <c r="A2" s="9">
        <v>44927.0</v>
      </c>
      <c r="B2" s="10">
        <f t="shared" si="0" ref="B2:B32">IF(J2&gt;0,J2/$P$5*$O$5,0)</f>
        <v>0.0</v>
      </c>
      <c r="C2" s="11"/>
      <c r="D2" s="12"/>
      <c r="E2" s="12"/>
      <c r="F2" s="13"/>
      <c r="G2" s="13"/>
      <c r="H2" s="14"/>
      <c r="I2" s="15" t="str">
        <f t="shared" si="1" ref="I2:I32">IF(OR(F2&gt;0,D2&gt;0,E2&gt;0),C2*F2+D2*G2+E2*H2,"")</f>
        <v/>
      </c>
      <c r="J2" s="16"/>
      <c r="K2" s="17" t="str">
        <f t="shared" si="2" ref="K2:K32">IF(OR(F2&gt;0,G2&gt;0,H2&gt;0),I2-(J2/1000*($R$11/$S$11)+B2),"")</f>
        <v/>
      </c>
      <c r="L2" s="18"/>
    </row>
    <row r="3" spans="8:8" ht="15.75" customHeight="1">
      <c r="A3" s="19">
        <v>44928.0</v>
      </c>
      <c r="B3" s="10">
        <f t="shared" si="0"/>
        <v>0.0</v>
      </c>
      <c r="C3" s="11"/>
      <c r="D3" s="12"/>
      <c r="E3" s="12"/>
      <c r="F3" s="13"/>
      <c r="G3" s="13"/>
      <c r="H3" s="14"/>
      <c r="I3" s="15" t="str">
        <f t="shared" si="1"/>
        <v/>
      </c>
      <c r="J3" s="20"/>
      <c r="K3" s="17" t="str">
        <f t="shared" si="2"/>
        <v/>
      </c>
      <c r="L3" s="21"/>
    </row>
    <row r="4" spans="8:8" ht="18.75" customHeight="1">
      <c r="A4" s="19">
        <v>44929.0</v>
      </c>
      <c r="B4" s="10">
        <f t="shared" si="0"/>
        <v>0.0</v>
      </c>
      <c r="C4" s="11"/>
      <c r="D4" s="12"/>
      <c r="E4" s="12"/>
      <c r="F4" s="13"/>
      <c r="G4" s="13"/>
      <c r="H4" s="14"/>
      <c r="I4" s="15" t="str">
        <f t="shared" si="1"/>
        <v/>
      </c>
      <c r="J4" s="20"/>
      <c r="K4" s="17" t="str">
        <f t="shared" si="2"/>
        <v/>
      </c>
      <c r="L4" s="21"/>
      <c r="O4" t="s">
        <v>1</v>
      </c>
      <c r="P4" t="s">
        <v>12</v>
      </c>
      <c r="R4" s="22"/>
      <c r="S4" s="23" t="s">
        <v>13</v>
      </c>
      <c r="T4" s="23" t="s">
        <v>14</v>
      </c>
      <c r="U4" s="23" t="s">
        <v>15</v>
      </c>
      <c r="V4" s="23" t="s">
        <v>16</v>
      </c>
    </row>
    <row r="5" spans="8:8" ht="15.75" customHeight="1">
      <c r="A5" s="19">
        <v>44930.0</v>
      </c>
      <c r="B5" s="10">
        <f t="shared" si="0"/>
        <v>0.0</v>
      </c>
      <c r="C5" s="11"/>
      <c r="D5" s="12"/>
      <c r="E5" s="12"/>
      <c r="F5" s="13"/>
      <c r="G5" s="13"/>
      <c r="H5" s="14"/>
      <c r="I5" s="15" t="str">
        <f t="shared" si="1"/>
        <v/>
      </c>
      <c r="J5" s="20"/>
      <c r="K5" s="17" t="str">
        <f t="shared" si="2"/>
        <v/>
      </c>
      <c r="L5" s="21"/>
      <c r="O5">
        <v>0.1</v>
      </c>
      <c r="P5">
        <v>12000.0</v>
      </c>
      <c r="R5" s="24" t="s">
        <v>8</v>
      </c>
      <c r="S5" s="25">
        <f>SUM(I2:I32)</f>
        <v>4.137620640000001</v>
      </c>
      <c r="T5" s="25">
        <f>MAX(I2:I32)</f>
        <v>0.673043615</v>
      </c>
      <c r="U5" s="25">
        <f>MIN(I2:I32)</f>
        <v>0.0685193</v>
      </c>
      <c r="V5" s="26">
        <f>_xlfn.AVERAGEIF(I2:I32,"&gt;0")</f>
        <v>0.37614733090909097</v>
      </c>
    </row>
    <row r="6" spans="8:8" ht="15.75" customHeight="1">
      <c r="A6" s="19">
        <v>44931.0</v>
      </c>
      <c r="B6" s="10">
        <f t="shared" si="0"/>
        <v>0.0</v>
      </c>
      <c r="C6" s="11"/>
      <c r="D6" s="12"/>
      <c r="E6" s="12"/>
      <c r="F6" s="13"/>
      <c r="G6" s="13"/>
      <c r="H6" s="14"/>
      <c r="I6" s="15" t="str">
        <f t="shared" si="1"/>
        <v/>
      </c>
      <c r="J6" s="20"/>
      <c r="K6" s="17" t="str">
        <f t="shared" si="2"/>
        <v/>
      </c>
      <c r="L6" s="21"/>
      <c r="R6" s="27" t="s">
        <v>10</v>
      </c>
      <c r="S6" s="28">
        <f>SUM(K2:K32)</f>
        <v>1.0521840917766496</v>
      </c>
      <c r="T6" s="28">
        <f>MAX(K2:K32)</f>
        <v>0.23928476406091365</v>
      </c>
      <c r="U6" s="28">
        <f>MIN(K2:K32)</f>
        <v>-0.1858067239424704</v>
      </c>
      <c r="V6" s="29">
        <f>_xlfn.AVERAGEIF(K2:K32,"&gt;0")</f>
        <v>0.123799081571912</v>
      </c>
    </row>
    <row r="7" spans="8:8" ht="15.75" customHeight="1">
      <c r="A7" s="19">
        <v>44932.0</v>
      </c>
      <c r="B7" s="10">
        <f t="shared" si="0"/>
        <v>0.0</v>
      </c>
      <c r="C7" s="11"/>
      <c r="D7" s="12"/>
      <c r="E7" s="12"/>
      <c r="F7" s="13"/>
      <c r="G7" s="13"/>
      <c r="H7" s="14"/>
      <c r="I7" s="15" t="str">
        <f t="shared" si="1"/>
        <v/>
      </c>
      <c r="J7" s="20"/>
      <c r="K7" s="17" t="str">
        <f t="shared" si="2"/>
        <v/>
      </c>
      <c r="L7" s="21"/>
      <c r="R7" s="30" t="s">
        <v>17</v>
      </c>
      <c r="S7" s="31" t="s">
        <v>18</v>
      </c>
      <c r="T7" s="30" t="e">
        <f>MAX(#REF!)</f>
        <v>#REF!</v>
      </c>
      <c r="U7" s="30" t="e">
        <f>MIN(#REF!)</f>
        <v>#REF!</v>
      </c>
      <c r="V7" s="30" t="e">
        <f>_xlfn.AVERAGEIF(#REF!,"&gt;0")</f>
        <v>#VALUE!</v>
      </c>
    </row>
    <row r="8" spans="8:8" ht="15.75" customHeight="1">
      <c r="A8" s="19">
        <v>44933.0</v>
      </c>
      <c r="B8" s="10">
        <f t="shared" si="0"/>
        <v>0.0</v>
      </c>
      <c r="C8" s="11"/>
      <c r="D8" s="12"/>
      <c r="E8" s="12"/>
      <c r="F8" s="13"/>
      <c r="G8" s="13"/>
      <c r="H8" s="14"/>
      <c r="I8" s="15" t="str">
        <f t="shared" si="1"/>
        <v/>
      </c>
      <c r="J8" s="20"/>
      <c r="K8" s="17" t="str">
        <f t="shared" si="2"/>
        <v/>
      </c>
      <c r="L8" s="21"/>
      <c r="P8" s="32"/>
    </row>
    <row r="9" spans="8:8" ht="15.75" customHeight="1">
      <c r="A9" s="19">
        <v>44934.0</v>
      </c>
      <c r="B9" s="10">
        <f t="shared" si="0"/>
        <v>0.0</v>
      </c>
      <c r="C9" s="11"/>
      <c r="D9" s="12"/>
      <c r="E9" s="12"/>
      <c r="F9" s="13"/>
      <c r="G9" s="13"/>
      <c r="H9" s="14"/>
      <c r="I9" s="15" t="str">
        <f t="shared" si="1"/>
        <v/>
      </c>
      <c r="J9" s="20"/>
      <c r="K9" s="17" t="str">
        <f t="shared" si="2"/>
        <v/>
      </c>
      <c r="L9" s="21"/>
      <c r="O9" s="33"/>
      <c r="P9" s="32"/>
    </row>
    <row r="10" spans="8:8" ht="15.75" customHeight="1">
      <c r="A10" s="19">
        <v>44935.0</v>
      </c>
      <c r="B10" s="10">
        <f t="shared" si="0"/>
        <v>0.0</v>
      </c>
      <c r="C10" s="11"/>
      <c r="D10" s="12"/>
      <c r="E10" s="12"/>
      <c r="F10" s="13"/>
      <c r="G10" s="13"/>
      <c r="H10" s="14"/>
      <c r="I10" s="15" t="str">
        <f t="shared" si="1"/>
        <v/>
      </c>
      <c r="J10" s="20"/>
      <c r="K10" s="17" t="str">
        <f t="shared" si="2"/>
        <v/>
      </c>
      <c r="L10" s="21"/>
      <c r="P10" s="34"/>
      <c r="Q10" s="35"/>
      <c r="R10" s="36" t="s">
        <v>19</v>
      </c>
      <c r="S10" s="36" t="s">
        <v>20</v>
      </c>
    </row>
    <row r="11" spans="8:8" ht="15.75" customHeight="1">
      <c r="A11" s="19">
        <v>44936.0</v>
      </c>
      <c r="B11" s="10">
        <f t="shared" si="0"/>
        <v>0.0</v>
      </c>
      <c r="C11" s="11"/>
      <c r="D11" s="12"/>
      <c r="E11" s="12"/>
      <c r="F11" s="13"/>
      <c r="G11" s="13"/>
      <c r="H11" s="14"/>
      <c r="I11" s="15" t="str">
        <f t="shared" si="1"/>
        <v/>
      </c>
      <c r="J11" s="20"/>
      <c r="K11" s="17" t="str">
        <f t="shared" si="2"/>
        <v/>
      </c>
      <c r="L11" s="21"/>
      <c r="P11" s="33"/>
      <c r="Q11" s="35"/>
      <c r="R11">
        <v>1.71</v>
      </c>
      <c r="S11">
        <v>39.4</v>
      </c>
    </row>
    <row r="12" spans="8:8" ht="15.75" customHeight="1">
      <c r="A12" s="19">
        <v>44937.0</v>
      </c>
      <c r="B12" s="10">
        <f t="shared" si="0"/>
        <v>0.0</v>
      </c>
      <c r="C12" s="11"/>
      <c r="D12" s="12"/>
      <c r="E12" s="12"/>
      <c r="F12" s="13"/>
      <c r="G12" s="13"/>
      <c r="H12" s="14"/>
      <c r="I12" s="15" t="str">
        <f t="shared" si="1"/>
        <v/>
      </c>
      <c r="J12" s="20"/>
      <c r="K12" s="17" t="str">
        <f t="shared" si="2"/>
        <v/>
      </c>
      <c r="L12" s="21"/>
      <c r="P12" s="32"/>
      <c r="Q12" s="35"/>
      <c r="R12" s="32"/>
      <c r="T12" s="37"/>
      <c r="U12" s="38"/>
      <c r="V12" s="39"/>
    </row>
    <row r="13" spans="8:8" ht="15.75" customHeight="1">
      <c r="A13" s="19">
        <v>44938.0</v>
      </c>
      <c r="B13" s="10">
        <f t="shared" si="0"/>
        <v>0.0</v>
      </c>
      <c r="C13" s="11"/>
      <c r="D13" s="12"/>
      <c r="E13" s="12"/>
      <c r="F13" s="13"/>
      <c r="G13" s="13"/>
      <c r="H13" s="14"/>
      <c r="I13" s="15" t="str">
        <f t="shared" si="1"/>
        <v/>
      </c>
      <c r="J13" s="20"/>
      <c r="K13" s="17" t="str">
        <f t="shared" si="2"/>
        <v/>
      </c>
      <c r="L13" s="21"/>
      <c r="P13" s="40"/>
      <c r="Q13" s="35"/>
      <c r="R13" s="32"/>
    </row>
    <row r="14" spans="8:8" ht="15.75" customHeight="1">
      <c r="A14" s="19">
        <v>44939.0</v>
      </c>
      <c r="B14" s="10">
        <f t="shared" si="0"/>
        <v>0.0</v>
      </c>
      <c r="C14" s="11"/>
      <c r="D14" s="12"/>
      <c r="E14" s="12"/>
      <c r="F14" s="13"/>
      <c r="G14" s="13"/>
      <c r="H14" s="14"/>
      <c r="I14" s="15" t="str">
        <f t="shared" si="1"/>
        <v/>
      </c>
      <c r="J14" s="20"/>
      <c r="K14" s="17" t="str">
        <f t="shared" si="2"/>
        <v/>
      </c>
      <c r="L14" s="21"/>
      <c r="Q14" s="35"/>
      <c r="R14" s="32"/>
    </row>
    <row r="15" spans="8:8" ht="15.75" customHeight="1">
      <c r="A15" s="19">
        <v>44940.0</v>
      </c>
      <c r="B15" s="10">
        <f t="shared" si="0"/>
        <v>0.0</v>
      </c>
      <c r="C15" s="11"/>
      <c r="D15" s="12"/>
      <c r="E15" s="12"/>
      <c r="F15" s="13"/>
      <c r="G15" s="13"/>
      <c r="H15" s="14"/>
      <c r="I15" s="15" t="str">
        <f t="shared" si="1"/>
        <v/>
      </c>
      <c r="J15" s="20"/>
      <c r="K15" s="17" t="str">
        <f t="shared" si="2"/>
        <v/>
      </c>
      <c r="L15" s="21"/>
      <c r="P15" s="32"/>
    </row>
    <row r="16" spans="8:8" ht="17.25" customHeight="1">
      <c r="A16" s="19">
        <v>44941.0</v>
      </c>
      <c r="B16" s="10">
        <f t="shared" si="0"/>
        <v>0.043833333333333335</v>
      </c>
      <c r="C16" s="41">
        <v>0.051712</v>
      </c>
      <c r="D16" s="42">
        <v>1.6409</v>
      </c>
      <c r="E16" s="43">
        <v>17.0</v>
      </c>
      <c r="F16" s="44">
        <v>4.0</v>
      </c>
      <c r="G16" s="45">
        <v>0.02905</v>
      </c>
      <c r="H16" s="46">
        <v>0.0062</v>
      </c>
      <c r="I16" s="15">
        <f t="shared" si="1"/>
        <v>0.359916145</v>
      </c>
      <c r="J16" s="20">
        <v>5260.0</v>
      </c>
      <c r="K16" s="17">
        <f t="shared" si="2"/>
        <v>0.08779347156514383</v>
      </c>
      <c r="L16" s="21"/>
    </row>
    <row r="17" spans="8:8" ht="15.75" customHeight="1">
      <c r="A17" s="19">
        <v>44942.0</v>
      </c>
      <c r="B17" s="10">
        <f t="shared" si="0"/>
        <v>0.06775</v>
      </c>
      <c r="C17" s="41">
        <v>0.074756</v>
      </c>
      <c r="D17" s="42">
        <v>3.24</v>
      </c>
      <c r="E17" s="43">
        <v>26.0</v>
      </c>
      <c r="F17" s="44">
        <v>5.13</v>
      </c>
      <c r="G17" s="45">
        <v>0.03145</v>
      </c>
      <c r="H17" s="46">
        <v>0.0062</v>
      </c>
      <c r="I17" s="15">
        <f t="shared" si="1"/>
        <v>0.64659628</v>
      </c>
      <c r="J17" s="20">
        <v>8130.0</v>
      </c>
      <c r="K17" s="17">
        <f t="shared" si="2"/>
        <v>0.22599602619289338</v>
      </c>
      <c r="L17" s="21"/>
    </row>
    <row r="18" spans="8:8" ht="15.75" customHeight="1">
      <c r="A18" s="19">
        <v>44943.0</v>
      </c>
      <c r="B18" s="10">
        <f t="shared" si="0"/>
        <v>0.052500000000000005</v>
      </c>
      <c r="C18" s="41">
        <v>0.069182</v>
      </c>
      <c r="D18" s="42">
        <v>2.35</v>
      </c>
      <c r="E18" s="43">
        <v>22.0</v>
      </c>
      <c r="F18" s="44">
        <v>5.13</v>
      </c>
      <c r="G18" s="45">
        <v>0.03145</v>
      </c>
      <c r="H18" s="46">
        <v>0.0062</v>
      </c>
      <c r="I18" s="15">
        <f t="shared" si="1"/>
        <v>0.5652111599999999</v>
      </c>
      <c r="J18" s="20">
        <v>6300.0</v>
      </c>
      <c r="K18" s="17">
        <f t="shared" si="2"/>
        <v>0.23928476406091365</v>
      </c>
      <c r="L18" s="21"/>
    </row>
    <row r="19" spans="8:8" ht="15.75" customHeight="1">
      <c r="A19" s="19">
        <v>44944.0</v>
      </c>
      <c r="B19" s="10">
        <f t="shared" si="0"/>
        <v>0.06591666666666667</v>
      </c>
      <c r="C19" s="41">
        <v>0.069816</v>
      </c>
      <c r="D19" s="42">
        <v>3.22</v>
      </c>
      <c r="E19" s="43">
        <v>20.0</v>
      </c>
      <c r="F19" s="44">
        <v>5.13</v>
      </c>
      <c r="G19" s="45">
        <v>0.03145</v>
      </c>
      <c r="H19" s="46">
        <v>0.0062</v>
      </c>
      <c r="I19" s="15">
        <f t="shared" si="1"/>
        <v>0.58342508</v>
      </c>
      <c r="J19" s="20">
        <v>7910.0</v>
      </c>
      <c r="K19" s="17">
        <f t="shared" si="2"/>
        <v>0.17420638287648055</v>
      </c>
      <c r="L19" s="47"/>
      <c r="P19" s="33"/>
    </row>
    <row r="20" spans="8:8" ht="15.75" customHeight="1">
      <c r="A20" s="19">
        <v>44945.0</v>
      </c>
      <c r="B20" s="10">
        <f t="shared" si="0"/>
        <v>0.07833333333333334</v>
      </c>
      <c r="C20" s="41">
        <v>0.099934</v>
      </c>
      <c r="D20" s="42">
        <v>1.9383</v>
      </c>
      <c r="E20" s="43">
        <v>35.0</v>
      </c>
      <c r="F20" s="44">
        <v>4.0</v>
      </c>
      <c r="G20" s="45">
        <v>0.02905</v>
      </c>
      <c r="H20" s="46">
        <v>0.0062</v>
      </c>
      <c r="I20" s="15">
        <f t="shared" si="1"/>
        <v>0.673043615</v>
      </c>
      <c r="J20" s="20">
        <v>9400.0</v>
      </c>
      <c r="K20" s="17">
        <f t="shared" si="2"/>
        <v>0.1867407385194585</v>
      </c>
      <c r="L20" s="21"/>
      <c r="P20" s="32"/>
    </row>
    <row r="21" spans="8:8" ht="15.75" customHeight="1">
      <c r="A21" s="19">
        <v>44946.0</v>
      </c>
      <c r="B21" s="10">
        <f t="shared" si="0"/>
        <v>0.05683333333333334</v>
      </c>
      <c r="C21" s="41">
        <v>0.068958</v>
      </c>
      <c r="D21" s="42">
        <v>1.6625</v>
      </c>
      <c r="E21" s="43">
        <v>24.0</v>
      </c>
      <c r="F21" s="44">
        <v>3.9</v>
      </c>
      <c r="G21" s="45">
        <v>0.0277</v>
      </c>
      <c r="H21" s="46">
        <v>0.007597</v>
      </c>
      <c r="I21" s="15">
        <f t="shared" si="1"/>
        <v>0.49731545</v>
      </c>
      <c r="J21" s="20">
        <v>6820.0</v>
      </c>
      <c r="K21" s="17">
        <f t="shared" si="2"/>
        <v>0.14448719280879863</v>
      </c>
      <c r="L21" s="21"/>
      <c r="P21" s="33"/>
    </row>
    <row r="22" spans="8:8" ht="15.75" customHeight="1">
      <c r="A22" s="19">
        <v>44947.0</v>
      </c>
      <c r="B22" s="10">
        <f t="shared" si="0"/>
        <v>0.04958333333333334</v>
      </c>
      <c r="C22" s="41">
        <v>0.060244</v>
      </c>
      <c r="D22" s="42">
        <v>1.4204</v>
      </c>
      <c r="E22" s="43">
        <v>22.0</v>
      </c>
      <c r="F22" s="44">
        <v>3.7</v>
      </c>
      <c r="G22" s="45">
        <v>0.0277</v>
      </c>
      <c r="H22" s="46">
        <v>0.007597</v>
      </c>
      <c r="I22" s="15">
        <f t="shared" si="1"/>
        <v>0.42938188</v>
      </c>
      <c r="J22" s="20">
        <v>5950.0</v>
      </c>
      <c r="K22" s="17">
        <f t="shared" si="2"/>
        <v>0.1215625060575296</v>
      </c>
      <c r="L22" s="21"/>
      <c r="N22" s="33"/>
      <c r="P22" s="32"/>
    </row>
    <row r="23" spans="8:8" ht="15.75" customHeight="1">
      <c r="A23" s="19">
        <v>44948.0</v>
      </c>
      <c r="B23" s="10">
        <f t="shared" si="0"/>
        <v>0.04958333333333334</v>
      </c>
      <c r="C23" s="41">
        <v>0.016326</v>
      </c>
      <c r="D23" s="42">
        <v>0.5785</v>
      </c>
      <c r="E23" s="43">
        <v>6.0</v>
      </c>
      <c r="F23" s="44">
        <v>3.7</v>
      </c>
      <c r="G23" s="45">
        <v>0.0277</v>
      </c>
      <c r="H23" s="46">
        <v>0.007597</v>
      </c>
      <c r="I23" s="15">
        <f t="shared" si="1"/>
        <v>0.12201265</v>
      </c>
      <c r="J23" s="20">
        <v>5950.0</v>
      </c>
      <c r="K23" s="17">
        <f t="shared" si="2"/>
        <v>-0.1858067239424704</v>
      </c>
      <c r="L23" s="21"/>
      <c r="O23" s="33"/>
    </row>
    <row r="24" spans="8:8" ht="15.75" customHeight="1">
      <c r="A24" s="19">
        <v>44949.0</v>
      </c>
      <c r="B24" s="10">
        <f t="shared" si="0"/>
        <v>0.015333333333333332</v>
      </c>
      <c r="C24" s="41">
        <v>0.01813</v>
      </c>
      <c r="D24" s="42">
        <v>0.1924</v>
      </c>
      <c r="E24" s="43">
        <v>6.5</v>
      </c>
      <c r="F24" s="44">
        <v>3.7</v>
      </c>
      <c r="G24" s="45">
        <v>0.0277</v>
      </c>
      <c r="H24" s="46">
        <v>0.007597</v>
      </c>
      <c r="I24" s="15">
        <f t="shared" si="1"/>
        <v>0.12179098</v>
      </c>
      <c r="J24" s="20">
        <v>1840.0</v>
      </c>
      <c r="K24" s="17">
        <f t="shared" si="2"/>
        <v>0.02659977864636208</v>
      </c>
      <c r="L24" s="21"/>
    </row>
    <row r="25" spans="8:8" ht="15.75" customHeight="1">
      <c r="A25" s="19">
        <v>44950.0</v>
      </c>
      <c r="B25" s="10">
        <f t="shared" si="0"/>
        <v>0.0</v>
      </c>
      <c r="C25" s="41"/>
      <c r="D25" s="42"/>
      <c r="E25" s="43"/>
      <c r="F25" s="44"/>
      <c r="G25" s="45"/>
      <c r="H25" s="46"/>
      <c r="I25" s="15" t="str">
        <f t="shared" si="1"/>
        <v/>
      </c>
      <c r="J25" s="20"/>
      <c r="K25" s="17" t="str">
        <f t="shared" si="2"/>
        <v/>
      </c>
      <c r="L25" s="21"/>
      <c r="P25" s="32"/>
    </row>
    <row r="26" spans="8:8" ht="15.75" customHeight="1">
      <c r="A26" s="19">
        <v>44951.0</v>
      </c>
      <c r="B26" s="10">
        <f t="shared" si="0"/>
        <v>0.0</v>
      </c>
      <c r="C26" s="41"/>
      <c r="D26" s="42"/>
      <c r="E26" s="43"/>
      <c r="F26" s="44"/>
      <c r="G26" s="45"/>
      <c r="H26" s="46"/>
      <c r="I26" s="15" t="str">
        <f t="shared" si="1"/>
        <v/>
      </c>
      <c r="J26" s="20"/>
      <c r="K26" s="17" t="str">
        <f t="shared" si="2"/>
        <v/>
      </c>
      <c r="L26" s="21"/>
    </row>
    <row r="27" spans="8:8" ht="15.75" customHeight="1">
      <c r="A27" s="19">
        <v>44952.0</v>
      </c>
      <c r="B27" s="10">
        <f t="shared" si="0"/>
        <v>0.0</v>
      </c>
      <c r="C27" s="41"/>
      <c r="D27" s="42"/>
      <c r="E27" s="43"/>
      <c r="F27" s="44"/>
      <c r="G27" s="45"/>
      <c r="H27" s="46"/>
      <c r="I27" s="15" t="str">
        <f t="shared" si="1"/>
        <v/>
      </c>
      <c r="J27" s="20"/>
      <c r="K27" s="17" t="str">
        <f t="shared" si="2"/>
        <v/>
      </c>
      <c r="L27" s="21"/>
    </row>
    <row r="28" spans="8:8" ht="15.75" customHeight="1">
      <c r="A28" s="19">
        <v>44953.0</v>
      </c>
      <c r="B28" s="10">
        <f t="shared" si="0"/>
        <v>0.0</v>
      </c>
      <c r="C28" s="41"/>
      <c r="D28" s="42"/>
      <c r="E28" s="43"/>
      <c r="F28" s="44"/>
      <c r="G28" s="45"/>
      <c r="H28" s="46"/>
      <c r="I28" s="15" t="str">
        <f t="shared" si="1"/>
        <v/>
      </c>
      <c r="J28" s="20"/>
      <c r="K28" s="17" t="str">
        <f t="shared" si="2"/>
        <v/>
      </c>
      <c r="L28" s="48"/>
    </row>
    <row r="29" spans="8:8" ht="15.75" customHeight="1">
      <c r="A29" s="19">
        <v>44954.0</v>
      </c>
      <c r="B29" s="10">
        <f t="shared" si="0"/>
        <v>0.009</v>
      </c>
      <c r="C29" s="41">
        <v>0.01066</v>
      </c>
      <c r="D29" s="42">
        <v>0.158</v>
      </c>
      <c r="E29" s="43">
        <v>3.5</v>
      </c>
      <c r="F29" s="44">
        <v>3.7</v>
      </c>
      <c r="G29" s="45">
        <v>0.0277</v>
      </c>
      <c r="H29" s="46">
        <v>0.007597</v>
      </c>
      <c r="I29" s="15">
        <f t="shared" si="1"/>
        <v>0.0704081</v>
      </c>
      <c r="J29" s="20">
        <v>1080.0</v>
      </c>
      <c r="K29" s="17">
        <f t="shared" si="2"/>
        <v>0.014535003553299487</v>
      </c>
      <c r="L29" s="48"/>
    </row>
    <row r="30" spans="8:8" ht="15.75" customHeight="1">
      <c r="A30" s="19">
        <v>44955.0</v>
      </c>
      <c r="B30" s="10">
        <f t="shared" si="0"/>
        <v>0.008333333333333333</v>
      </c>
      <c r="C30" s="41">
        <v>0.012359</v>
      </c>
      <c r="D30" s="42">
        <v>0.0</v>
      </c>
      <c r="E30" s="43">
        <v>3.0</v>
      </c>
      <c r="F30" s="44">
        <v>3.7</v>
      </c>
      <c r="G30" s="45">
        <v>0.0</v>
      </c>
      <c r="H30" s="46">
        <v>0.007597</v>
      </c>
      <c r="I30" s="15">
        <f t="shared" si="1"/>
        <v>0.0685193</v>
      </c>
      <c r="J30" s="49">
        <v>1000.0</v>
      </c>
      <c r="K30" s="17">
        <f t="shared" si="2"/>
        <v>0.016784951438240277</v>
      </c>
      <c r="L30" s="48"/>
    </row>
    <row r="31" spans="8:8" ht="15.75" customHeight="1">
      <c r="A31" s="19">
        <v>44956.0</v>
      </c>
      <c r="B31" s="10">
        <f t="shared" si="0"/>
        <v>0.0</v>
      </c>
      <c r="C31" s="41"/>
      <c r="D31" s="42"/>
      <c r="E31" s="43"/>
      <c r="F31" s="44"/>
      <c r="G31" s="45"/>
      <c r="H31" s="46"/>
      <c r="I31" s="15" t="str">
        <f t="shared" si="1"/>
        <v/>
      </c>
      <c r="J31" s="20"/>
      <c r="K31" s="17" t="str">
        <f t="shared" si="2"/>
        <v/>
      </c>
      <c r="L31" s="48"/>
    </row>
    <row r="32" spans="8:8" ht="16.5" customHeight="1">
      <c r="A32" s="50">
        <v>44957.0</v>
      </c>
      <c r="B32" s="10">
        <f t="shared" si="0"/>
        <v>0.0</v>
      </c>
      <c r="C32" s="51"/>
      <c r="D32" s="52"/>
      <c r="E32" s="53"/>
      <c r="F32" s="54"/>
      <c r="G32" s="55"/>
      <c r="H32" s="56"/>
      <c r="I32" s="15" t="str">
        <f t="shared" si="1"/>
        <v/>
      </c>
      <c r="J32" s="57"/>
      <c r="K32" s="17" t="str">
        <f t="shared" si="2"/>
        <v/>
      </c>
      <c r="L32" s="58"/>
    </row>
  </sheetData>
  <mergeCells count="1">
    <mergeCell ref="T12:U12"/>
  </mergeCells>
  <pageMargins left="0.7" right="0.7" top="0.75" bottom="0.75" header="0.3" footer="0.3"/>
</worksheet>
</file>

<file path=xl/worksheets/sheet2.xml><?xml version="1.0" encoding="utf-8"?>
<worksheet xmlns:r="http://schemas.openxmlformats.org/officeDocument/2006/relationships" xmlns="http://schemas.openxmlformats.org/spreadsheetml/2006/main">
  <dimension ref="A1:W33"/>
  <sheetViews>
    <sheetView tabSelected="1" workbookViewId="0" topLeftCell="D5" zoomScale="70">
      <selection activeCell="H17" sqref="H17"/>
    </sheetView>
  </sheetViews>
  <sheetFormatPr defaultRowHeight="15.0" defaultColWidth="10"/>
  <cols>
    <col min="1" max="1" customWidth="1" width="11.425781" style="1"/>
    <col min="2" max="2" customWidth="1" width="12.0" style="1"/>
    <col min="3" max="3" customWidth="1" width="12.855469" style="1"/>
    <col min="4" max="4" customWidth="1" width="12.0" style="1"/>
    <col min="5" max="7" customWidth="1" width="14.5703125" style="1"/>
    <col min="8" max="8" customWidth="1" width="15.855469" style="1"/>
    <col min="9" max="9" customWidth="1" width="16.0" style="1"/>
    <col min="10" max="10" customWidth="1" width="14.140625" style="1"/>
    <col min="11" max="11" customWidth="1" width="12.5703125" style="1"/>
    <col min="12" max="12" customWidth="1" width="17.140625" style="1"/>
    <col min="13" max="13" customWidth="1" width="12.140625" style="1"/>
    <col min="14" max="14" customWidth="1" width="21.0" style="1"/>
    <col min="15" max="15" customWidth="1" width="11.855469" style="1"/>
    <col min="16" max="16" customWidth="1" width="18.140625" style="1"/>
    <col min="18" max="18" customWidth="1" width="14.140625" style="1"/>
    <col min="19" max="19" customWidth="1" width="9.425781" style="1"/>
    <col min="20" max="20" customWidth="1" width="11.285156" style="1"/>
    <col min="21" max="21" customWidth="1" width="10.7109375" style="1"/>
    <col min="22" max="22" customWidth="1" width="11.140625" style="1"/>
  </cols>
  <sheetData>
    <row r="1" spans="8:8" ht="21.75" customHeight="1">
      <c r="A1" s="2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5" t="s">
        <v>6</v>
      </c>
      <c r="H1" s="5" t="s">
        <v>7</v>
      </c>
      <c r="I1" s="6" t="s">
        <v>8</v>
      </c>
      <c r="J1" s="4" t="s">
        <v>9</v>
      </c>
      <c r="K1" s="7" t="s">
        <v>10</v>
      </c>
      <c r="L1" s="8" t="s">
        <v>11</v>
      </c>
    </row>
    <row r="2" spans="8:8" ht="15.75" customHeight="1">
      <c r="A2" s="59">
        <v>44958.0</v>
      </c>
      <c r="B2" s="10">
        <f t="shared" si="0" ref="B2:B29">IF(J2&gt;0,J2/$P$5*$O$5,0)</f>
        <v>0.0</v>
      </c>
      <c r="C2" s="60"/>
      <c r="D2" s="61"/>
      <c r="E2" s="62"/>
      <c r="F2" s="63"/>
      <c r="G2" s="64"/>
      <c r="H2" s="65"/>
      <c r="I2" s="15" t="str">
        <f t="shared" si="1" ref="I2:I29">IF(OR(F2&gt;0,D2&gt;0,E2&gt;0),C2*F2+D2*G2+E2*H2,"")</f>
        <v/>
      </c>
      <c r="J2" s="16"/>
      <c r="K2" s="17" t="str">
        <f t="shared" si="2" ref="K2:K21">IF(OR(F2&gt;0,G2&gt;0,H2&gt;0),I2-(J2/1000*($R$11/$S$11)+B2),"")</f>
        <v/>
      </c>
      <c r="L2" s="18"/>
    </row>
    <row r="3" spans="8:8" ht="15.75" customHeight="1">
      <c r="A3" s="59">
        <v>44959.0</v>
      </c>
      <c r="B3" s="10">
        <f t="shared" si="0"/>
        <v>0.0</v>
      </c>
      <c r="C3" s="41"/>
      <c r="D3" s="42"/>
      <c r="E3" s="43"/>
      <c r="F3" s="44"/>
      <c r="G3" s="45"/>
      <c r="H3" s="46"/>
      <c r="I3" s="15" t="str">
        <f t="shared" si="1"/>
        <v/>
      </c>
      <c r="J3" s="20"/>
      <c r="K3" s="17" t="str">
        <f t="shared" si="2"/>
        <v/>
      </c>
      <c r="L3" s="21"/>
    </row>
    <row r="4" spans="8:8" ht="18.75" customHeight="1">
      <c r="A4" s="59">
        <v>44960.0</v>
      </c>
      <c r="B4" s="10">
        <f t="shared" si="0"/>
        <v>0.0</v>
      </c>
      <c r="C4" s="41"/>
      <c r="D4" s="42"/>
      <c r="E4" s="43"/>
      <c r="F4" s="44"/>
      <c r="G4" s="45"/>
      <c r="H4" s="46"/>
      <c r="I4" s="15" t="str">
        <f t="shared" si="1"/>
        <v/>
      </c>
      <c r="J4" s="20"/>
      <c r="K4" s="17" t="str">
        <f t="shared" si="2"/>
        <v/>
      </c>
      <c r="L4" s="21"/>
      <c r="O4" t="s">
        <v>1</v>
      </c>
      <c r="P4" t="s">
        <v>12</v>
      </c>
      <c r="R4" s="22"/>
      <c r="S4" s="23" t="s">
        <v>13</v>
      </c>
      <c r="T4" s="23" t="s">
        <v>14</v>
      </c>
      <c r="U4" s="23" t="s">
        <v>15</v>
      </c>
      <c r="V4" s="23" t="s">
        <v>16</v>
      </c>
    </row>
    <row r="5" spans="8:8" ht="15.75" customHeight="1">
      <c r="A5" s="59">
        <v>44961.0</v>
      </c>
      <c r="B5" s="10">
        <f t="shared" si="0"/>
        <v>0.0</v>
      </c>
      <c r="C5" s="41"/>
      <c r="D5" s="42"/>
      <c r="E5" s="43"/>
      <c r="F5" s="44"/>
      <c r="G5" s="45"/>
      <c r="H5" s="46"/>
      <c r="I5" s="15" t="str">
        <f t="shared" si="1"/>
        <v/>
      </c>
      <c r="J5" s="20"/>
      <c r="K5" s="17" t="str">
        <f t="shared" si="2"/>
        <v/>
      </c>
      <c r="L5" s="21"/>
      <c r="O5">
        <v>0.1</v>
      </c>
      <c r="P5">
        <v>12000.0</v>
      </c>
      <c r="R5" s="24" t="s">
        <v>8</v>
      </c>
      <c r="S5" s="25">
        <f>SUM(K5:K33)</f>
        <v>-0.5528036034305125</v>
      </c>
      <c r="T5" s="25">
        <f>MAX(K5:K33)</f>
        <v>0.10304358327632027</v>
      </c>
      <c r="U5" s="25">
        <f>MIN(K5:K33)</f>
        <v>-0.2941187121489002</v>
      </c>
      <c r="V5" s="26">
        <f>_xlfn.AVERAGEIF(K5:K33,"&gt;0")</f>
        <v>0.04914722961624244</v>
      </c>
    </row>
    <row r="6" spans="8:8" ht="15.75" customHeight="1">
      <c r="A6" s="59">
        <v>44962.0</v>
      </c>
      <c r="B6" s="10">
        <f t="shared" si="0"/>
        <v>0.0</v>
      </c>
      <c r="C6" s="41"/>
      <c r="D6" s="42"/>
      <c r="E6" s="43"/>
      <c r="F6" s="44"/>
      <c r="G6" s="45"/>
      <c r="H6" s="46"/>
      <c r="I6" s="15" t="str">
        <f t="shared" si="1"/>
        <v/>
      </c>
      <c r="J6" s="20"/>
      <c r="K6" s="17" t="str">
        <f t="shared" si="2"/>
        <v/>
      </c>
      <c r="L6" s="21"/>
      <c r="R6" s="27" t="s">
        <v>10</v>
      </c>
      <c r="S6" s="28">
        <f>SUM(M5:M33)</f>
        <v>0.0</v>
      </c>
      <c r="T6" s="28">
        <f>MAX(M5:M33)</f>
        <v>0.0</v>
      </c>
      <c r="U6" s="28">
        <f>MIN(M5:M33)</f>
        <v>0.0</v>
      </c>
      <c r="V6" s="29" t="e">
        <f>_xlfn.AVERAGEIF(M5:M33,"&gt;0")</f>
        <v>#DIV/0!</v>
      </c>
    </row>
    <row r="7" spans="8:8" ht="15.75" customHeight="1">
      <c r="A7" s="59">
        <v>44963.0</v>
      </c>
      <c r="B7" s="10">
        <f t="shared" si="0"/>
        <v>0.0</v>
      </c>
      <c r="C7" s="41"/>
      <c r="D7" s="42"/>
      <c r="E7" s="43"/>
      <c r="F7" s="44"/>
      <c r="G7" s="45"/>
      <c r="H7" s="46"/>
      <c r="I7" s="15" t="str">
        <f t="shared" si="1"/>
        <v/>
      </c>
      <c r="J7" s="20"/>
      <c r="K7" s="17" t="str">
        <f t="shared" si="2"/>
        <v/>
      </c>
      <c r="L7" s="21"/>
      <c r="R7" s="30" t="s">
        <v>17</v>
      </c>
      <c r="S7" s="31" t="s">
        <v>18</v>
      </c>
      <c r="T7" s="30" t="e">
        <f>MAX(#REF!)</f>
        <v>#REF!</v>
      </c>
      <c r="U7" s="30" t="e">
        <f>MIN(#REF!)</f>
        <v>#REF!</v>
      </c>
      <c r="V7" s="30" t="e">
        <f>_xlfn.AVERAGEIF(#REF!,"&gt;0")</f>
        <v>#VALUE!</v>
      </c>
    </row>
    <row r="8" spans="8:8" ht="15.75" customHeight="1">
      <c r="A8" s="59">
        <v>44964.0</v>
      </c>
      <c r="B8" s="10">
        <f t="shared" si="0"/>
        <v>0.0</v>
      </c>
      <c r="C8" s="41"/>
      <c r="D8" s="42"/>
      <c r="E8" s="43"/>
      <c r="F8" s="44"/>
      <c r="G8" s="45"/>
      <c r="H8" s="46"/>
      <c r="I8" s="15" t="str">
        <f t="shared" si="1"/>
        <v/>
      </c>
      <c r="J8" s="20"/>
      <c r="K8" s="17" t="str">
        <f t="shared" si="2"/>
        <v/>
      </c>
      <c r="L8" s="21"/>
      <c r="P8" s="32"/>
    </row>
    <row r="9" spans="8:8" ht="15.75" customHeight="1">
      <c r="A9" s="59">
        <v>44965.0</v>
      </c>
      <c r="B9" s="10">
        <f t="shared" si="0"/>
        <v>0.0</v>
      </c>
      <c r="C9" s="41"/>
      <c r="D9" s="42"/>
      <c r="E9" s="43"/>
      <c r="F9" s="44"/>
      <c r="G9" s="45"/>
      <c r="H9" s="46"/>
      <c r="I9" s="15" t="str">
        <f t="shared" si="1"/>
        <v/>
      </c>
      <c r="J9" s="20"/>
      <c r="K9" s="17" t="str">
        <f t="shared" si="2"/>
        <v/>
      </c>
      <c r="L9" s="21"/>
      <c r="O9" s="33"/>
      <c r="P9" s="32"/>
    </row>
    <row r="10" spans="8:8" ht="15.75" customHeight="1">
      <c r="A10" s="59">
        <v>44966.0</v>
      </c>
      <c r="B10" s="10">
        <f t="shared" si="0"/>
        <v>0.016083333333333335</v>
      </c>
      <c r="C10" s="41" t="s">
        <v>21</v>
      </c>
      <c r="D10" s="42" t="s">
        <v>22</v>
      </c>
      <c r="E10" s="43">
        <v>6.654818868611112</v>
      </c>
      <c r="F10" s="44">
        <v>3.99</v>
      </c>
      <c r="G10" s="45">
        <v>0.032</v>
      </c>
      <c r="H10" s="46">
        <v>0.007597</v>
      </c>
      <c r="I10" s="15">
        <f t="shared" si="1"/>
        <v>0.11467782894483862</v>
      </c>
      <c r="J10" s="20">
        <v>1930.0</v>
      </c>
      <c r="K10" s="17">
        <f t="shared" si="2"/>
        <v>0.014830536220642343</v>
      </c>
      <c r="L10" s="21"/>
      <c r="P10" s="34"/>
      <c r="Q10" s="35"/>
      <c r="R10" s="36" t="s">
        <v>19</v>
      </c>
      <c r="S10" s="36" t="s">
        <v>20</v>
      </c>
    </row>
    <row r="11" spans="8:8" ht="15.75" customHeight="1">
      <c r="A11" s="59">
        <v>44967.0</v>
      </c>
      <c r="B11" s="10">
        <f t="shared" si="0"/>
        <v>0.003916666666666667</v>
      </c>
      <c r="C11" s="41" t="s">
        <v>23</v>
      </c>
      <c r="D11" s="42" t="s">
        <v>24</v>
      </c>
      <c r="E11" s="43">
        <v>1.633350417361111</v>
      </c>
      <c r="F11" s="44">
        <v>4.15</v>
      </c>
      <c r="G11" s="45">
        <v>0.032</v>
      </c>
      <c r="H11" s="46">
        <v>0.007597</v>
      </c>
      <c r="I11" s="15">
        <f t="shared" si="1"/>
        <v>0.06068241312069236</v>
      </c>
      <c r="J11" s="20">
        <v>470.0</v>
      </c>
      <c r="K11" s="17">
        <f t="shared" si="2"/>
        <v>0.03636726929666529</v>
      </c>
      <c r="L11" s="21"/>
      <c r="N11" s="33"/>
      <c r="P11" s="33"/>
      <c r="Q11" s="35"/>
      <c r="R11">
        <v>1.71</v>
      </c>
      <c r="S11">
        <v>39.4</v>
      </c>
    </row>
    <row r="12" spans="8:8" ht="15.75" customHeight="1">
      <c r="A12" s="59">
        <v>44968.0</v>
      </c>
      <c r="B12" s="10">
        <f t="shared" si="0"/>
        <v>0.0</v>
      </c>
      <c r="C12" s="41"/>
      <c r="D12" s="42"/>
      <c r="E12" s="43"/>
      <c r="F12" s="44"/>
      <c r="G12" s="45"/>
      <c r="H12" s="46"/>
      <c r="I12" s="15" t="str">
        <f t="shared" si="1"/>
        <v/>
      </c>
      <c r="J12" s="20"/>
      <c r="K12" s="17" t="str">
        <f t="shared" si="2"/>
        <v/>
      </c>
      <c r="L12" s="21"/>
      <c r="N12" s="34"/>
      <c r="P12" s="32"/>
      <c r="Q12" s="35"/>
      <c r="R12" s="32"/>
      <c r="T12" s="37"/>
      <c r="U12" s="38"/>
      <c r="V12" s="39"/>
    </row>
    <row r="13" spans="8:8" ht="15.75" customHeight="1">
      <c r="A13" s="59">
        <v>44969.0</v>
      </c>
      <c r="B13" s="10">
        <f t="shared" si="0"/>
        <v>0.018833333333333334</v>
      </c>
      <c r="C13" s="41" t="s">
        <v>25</v>
      </c>
      <c r="D13" s="42" t="s">
        <v>26</v>
      </c>
      <c r="E13" s="43">
        <v>7.790936946527778</v>
      </c>
      <c r="F13" s="44">
        <v>4.15</v>
      </c>
      <c r="G13" s="45">
        <v>0.032</v>
      </c>
      <c r="H13" s="46">
        <v>0.007597</v>
      </c>
      <c r="I13" s="15">
        <f t="shared" si="1"/>
        <v>0.15156119798277154</v>
      </c>
      <c r="J13" s="20">
        <v>2260.0</v>
      </c>
      <c r="K13" s="17">
        <f t="shared" si="2"/>
        <v>0.03464157023319456</v>
      </c>
      <c r="L13" s="21"/>
      <c r="P13" s="40"/>
      <c r="Q13" s="35"/>
      <c r="R13" s="32"/>
    </row>
    <row r="14" spans="8:8" ht="15.75" customHeight="1">
      <c r="A14" s="59">
        <v>44970.0</v>
      </c>
      <c r="B14" s="10">
        <f t="shared" si="0"/>
        <v>0.03858333333333333</v>
      </c>
      <c r="C14" s="41" t="s">
        <v>27</v>
      </c>
      <c r="D14" s="42" t="s">
        <v>28</v>
      </c>
      <c r="E14" s="43">
        <v>15.93456194777778</v>
      </c>
      <c r="F14" s="44">
        <v>3.99</v>
      </c>
      <c r="G14" s="45">
        <v>0.032</v>
      </c>
      <c r="H14" s="46">
        <v>0.007597</v>
      </c>
      <c r="I14" s="15">
        <f t="shared" si="1"/>
        <v>0.3425736171172678</v>
      </c>
      <c r="J14" s="20">
        <v>4630.0</v>
      </c>
      <c r="K14" s="17">
        <f t="shared" si="2"/>
        <v>0.10304358327632027</v>
      </c>
      <c r="L14" s="21"/>
      <c r="Q14" s="35"/>
      <c r="R14" s="32"/>
    </row>
    <row r="15" spans="8:8" ht="15.75" customHeight="1">
      <c r="A15" s="59">
        <v>44971.0</v>
      </c>
      <c r="B15" s="10">
        <f t="shared" si="0"/>
        <v>0.04133333333333333</v>
      </c>
      <c r="C15" s="41" t="s">
        <v>29</v>
      </c>
      <c r="D15" s="42" t="s">
        <v>30</v>
      </c>
      <c r="E15" s="43">
        <v>17.05911648291667</v>
      </c>
      <c r="F15" s="44">
        <v>4.15</v>
      </c>
      <c r="G15" s="45"/>
      <c r="H15" s="46">
        <v>0.007597</v>
      </c>
      <c r="I15" s="15">
        <f t="shared" si="1"/>
        <v>0.313455557920718</v>
      </c>
      <c r="J15" s="20">
        <v>4960.0</v>
      </c>
      <c r="K15" s="17">
        <f t="shared" si="2"/>
        <v>0.05685318905438974</v>
      </c>
      <c r="L15" s="21"/>
      <c r="P15" s="32"/>
    </row>
    <row r="16" spans="8:8" ht="17.25" customHeight="1">
      <c r="A16" s="59">
        <v>44972.0</v>
      </c>
      <c r="B16" s="10">
        <f t="shared" si="0"/>
        <v>0.06866666666666667</v>
      </c>
      <c r="C16" s="41" t="s">
        <v>31</v>
      </c>
      <c r="D16" s="42" t="s">
        <v>32</v>
      </c>
      <c r="E16" s="43">
        <v>28.34513423402778</v>
      </c>
      <c r="F16" s="44"/>
      <c r="G16" s="45">
        <v>0.0336</v>
      </c>
      <c r="H16" s="46"/>
      <c r="I16" s="15">
        <f t="shared" si="1"/>
        <v>0.13217231999999998</v>
      </c>
      <c r="J16" s="20">
        <v>8240.0</v>
      </c>
      <c r="K16" s="17">
        <f t="shared" si="2"/>
        <v>-0.2941187121489002</v>
      </c>
      <c r="L16" s="21"/>
      <c r="M16" s="33"/>
    </row>
    <row r="17" spans="8:8" ht="15.75" customHeight="1">
      <c r="A17" s="59">
        <v>44973.0</v>
      </c>
      <c r="B17" s="10">
        <f t="shared" si="0"/>
        <v>0.08558333333333334</v>
      </c>
      <c r="C17" s="41" t="s">
        <v>33</v>
      </c>
      <c r="D17" s="42" t="s">
        <v>34</v>
      </c>
      <c r="E17" s="43">
        <v>35.38692828958333</v>
      </c>
      <c r="F17" s="44"/>
      <c r="G17" s="45">
        <v>0.0343</v>
      </c>
      <c r="H17" s="46">
        <v>0.00891</v>
      </c>
      <c r="I17" s="15">
        <f t="shared" si="1"/>
        <v>0.4938839110601875</v>
      </c>
      <c r="J17" s="20">
        <v>10270.0</v>
      </c>
      <c r="K17" s="17">
        <f t="shared" si="2"/>
        <v>-0.037427848669084995</v>
      </c>
      <c r="L17" s="21"/>
    </row>
    <row r="18" spans="8:8" ht="15.75" customHeight="1">
      <c r="A18" s="59">
        <v>44974.0</v>
      </c>
      <c r="B18" s="10">
        <f t="shared" si="0"/>
        <v>0.10158333333333334</v>
      </c>
      <c r="C18" s="41" t="s">
        <v>35</v>
      </c>
      <c r="D18" s="42" t="s">
        <v>36</v>
      </c>
      <c r="E18" s="43">
        <v>42.15464747229167</v>
      </c>
      <c r="F18" s="44"/>
      <c r="G18" s="45"/>
      <c r="H18" s="46"/>
      <c r="I18" s="15">
        <f t="shared" si="1"/>
        <v>0.0</v>
      </c>
      <c r="J18" s="20">
        <v>12190.0</v>
      </c>
      <c r="K18" s="17" t="str">
        <f t="shared" si="2"/>
        <v/>
      </c>
      <c r="L18" s="21"/>
    </row>
    <row r="19" spans="8:8" ht="15.75" customHeight="1">
      <c r="A19" s="59">
        <v>44975.0</v>
      </c>
      <c r="B19" s="10">
        <f t="shared" si="0"/>
        <v>0.10416666666666669</v>
      </c>
      <c r="C19" s="41" t="s">
        <v>37</v>
      </c>
      <c r="D19" s="42" t="s">
        <v>38</v>
      </c>
      <c r="E19" s="43">
        <v>42.88128225694444</v>
      </c>
      <c r="F19" s="44"/>
      <c r="G19" s="45"/>
      <c r="H19" s="46"/>
      <c r="I19" s="15">
        <f t="shared" si="1"/>
        <v>0.0</v>
      </c>
      <c r="J19" s="20">
        <v>12500.0</v>
      </c>
      <c r="K19" s="17" t="str">
        <f t="shared" si="2"/>
        <v/>
      </c>
      <c r="L19" s="47"/>
    </row>
    <row r="20" spans="8:8" ht="15.75" customHeight="1">
      <c r="A20" s="59">
        <v>44976.0</v>
      </c>
      <c r="B20" s="10">
        <f t="shared" si="0"/>
        <v>0.09466666666666668</v>
      </c>
      <c r="C20" s="41" t="s">
        <v>39</v>
      </c>
      <c r="D20" s="42" t="s">
        <v>40</v>
      </c>
      <c r="E20" s="43">
        <v>38.969356205</v>
      </c>
      <c r="F20" s="44"/>
      <c r="G20" s="45"/>
      <c r="H20" s="46"/>
      <c r="I20" s="15">
        <f t="shared" si="1"/>
        <v>0.0</v>
      </c>
      <c r="J20" s="20">
        <v>11360.0</v>
      </c>
      <c r="K20" s="17" t="str">
        <f t="shared" si="2"/>
        <v/>
      </c>
      <c r="L20" s="21"/>
      <c r="P20" s="32"/>
    </row>
    <row r="21" spans="8:8" ht="15.75" customHeight="1">
      <c r="A21" s="59">
        <v>44977.0</v>
      </c>
      <c r="B21" s="10">
        <f t="shared" si="0"/>
        <v>0.09583333333333334</v>
      </c>
      <c r="C21" s="41" t="s">
        <v>41</v>
      </c>
      <c r="D21" s="42" t="s">
        <v>42</v>
      </c>
      <c r="E21" s="43">
        <v>40.37</v>
      </c>
      <c r="F21" s="44"/>
      <c r="G21" s="45"/>
      <c r="H21" s="46">
        <v>0.00891</v>
      </c>
      <c r="I21" s="15">
        <f t="shared" si="1"/>
        <v>0.3596967</v>
      </c>
      <c r="J21" s="20">
        <v>11500.0</v>
      </c>
      <c r="K21" s="17">
        <f t="shared" si="2"/>
        <v>-0.23524830846023692</v>
      </c>
      <c r="L21" s="21"/>
    </row>
    <row r="22" spans="8:8" ht="15.75" customHeight="1">
      <c r="A22" s="59">
        <v>44978.0</v>
      </c>
      <c r="B22" s="10">
        <f t="shared" si="0"/>
        <v>0.04875</v>
      </c>
      <c r="C22" s="41" t="s">
        <v>43</v>
      </c>
      <c r="D22" s="42" t="s">
        <v>44</v>
      </c>
      <c r="E22" s="43">
        <v>20.54</v>
      </c>
      <c r="F22" s="44"/>
      <c r="G22" s="45"/>
      <c r="H22" s="46">
        <v>0.007597</v>
      </c>
      <c r="I22" s="15">
        <f t="shared" si="1"/>
        <v>0.15604237999999998</v>
      </c>
      <c r="J22" s="20">
        <v>5850.0</v>
      </c>
      <c r="K22" s="17"/>
      <c r="L22" s="21"/>
      <c r="P22" s="32"/>
    </row>
    <row r="23" spans="8:8" ht="15.75" customHeight="1">
      <c r="A23" s="59">
        <v>44979.0</v>
      </c>
      <c r="B23" s="10">
        <f t="shared" si="0"/>
        <v>0.06483333333333334</v>
      </c>
      <c r="C23" s="41" t="s">
        <v>45</v>
      </c>
      <c r="D23" s="42" t="s">
        <v>46</v>
      </c>
      <c r="E23" s="43">
        <v>27.32</v>
      </c>
      <c r="F23" s="44"/>
      <c r="G23" s="45"/>
      <c r="H23" s="46"/>
      <c r="I23" s="15">
        <f t="shared" si="1"/>
        <v>0.0</v>
      </c>
      <c r="J23" s="20">
        <v>7780.0</v>
      </c>
      <c r="K23" s="17"/>
      <c r="L23" s="21"/>
    </row>
    <row r="24" spans="8:8" ht="15.75" customHeight="1">
      <c r="A24" s="59">
        <v>44980.0</v>
      </c>
      <c r="B24" s="10">
        <f t="shared" si="0"/>
        <v>0.09425</v>
      </c>
      <c r="C24" s="41" t="s">
        <v>47</v>
      </c>
      <c r="D24" s="42" t="s">
        <v>48</v>
      </c>
      <c r="E24" s="43">
        <v>39.66</v>
      </c>
      <c r="F24" s="44"/>
      <c r="G24" s="45"/>
      <c r="H24" s="46">
        <v>0.00891</v>
      </c>
      <c r="I24" s="15">
        <f t="shared" si="1"/>
        <v>0.3533705999999999</v>
      </c>
      <c r="J24" s="20">
        <v>11310.0</v>
      </c>
      <c r="K24" s="17">
        <f t="shared" si="3" ref="K24:K29">IF(OR(F24&gt;0,G24&gt;0,H24&gt;0),I24-(J24/1000*($R$11/$S$11)+B24),"")</f>
        <v>-0.2317448822335026</v>
      </c>
      <c r="L24" s="21"/>
    </row>
    <row r="25" spans="8:8" ht="15.75" customHeight="1">
      <c r="A25" s="59">
        <v>44981.0</v>
      </c>
      <c r="B25" s="10">
        <f t="shared" si="0"/>
        <v>0.0</v>
      </c>
      <c r="C25" s="41"/>
      <c r="D25" s="42"/>
      <c r="E25" s="43"/>
      <c r="F25" s="44"/>
      <c r="G25" s="45"/>
      <c r="H25" s="46"/>
      <c r="I25" s="15" t="str">
        <f t="shared" si="1"/>
        <v/>
      </c>
      <c r="J25" s="20"/>
      <c r="K25" s="17" t="str">
        <f t="shared" si="3"/>
        <v/>
      </c>
      <c r="L25" s="21"/>
      <c r="P25" s="32"/>
    </row>
    <row r="26" spans="8:8" ht="15.75" customHeight="1">
      <c r="A26" s="59">
        <v>44982.0</v>
      </c>
      <c r="B26" s="10">
        <f t="shared" si="0"/>
        <v>0.0</v>
      </c>
      <c r="C26" s="41"/>
      <c r="D26" s="42"/>
      <c r="E26" s="43"/>
      <c r="F26" s="44"/>
      <c r="G26" s="45"/>
      <c r="H26" s="46"/>
      <c r="I26" s="15" t="str">
        <f t="shared" si="1"/>
        <v/>
      </c>
      <c r="J26" s="20"/>
      <c r="K26" s="17" t="str">
        <f t="shared" si="3"/>
        <v/>
      </c>
      <c r="L26" s="21"/>
    </row>
    <row r="27" spans="8:8" ht="15.75" customHeight="1">
      <c r="A27" s="59">
        <v>44983.0</v>
      </c>
      <c r="B27" s="10">
        <f t="shared" si="0"/>
        <v>0.0</v>
      </c>
      <c r="C27" s="41"/>
      <c r="D27" s="42"/>
      <c r="E27" s="43"/>
      <c r="F27" s="44"/>
      <c r="G27" s="45"/>
      <c r="H27" s="46"/>
      <c r="I27" s="15" t="str">
        <f t="shared" si="1"/>
        <v/>
      </c>
      <c r="J27" s="20"/>
      <c r="K27" s="17" t="str">
        <f t="shared" si="3"/>
        <v/>
      </c>
      <c r="L27" s="21"/>
    </row>
    <row r="28" spans="8:8" ht="15.75" customHeight="1">
      <c r="A28" s="59">
        <v>44984.0</v>
      </c>
      <c r="B28" s="10">
        <f t="shared" si="0"/>
        <v>0.0</v>
      </c>
      <c r="C28" s="41"/>
      <c r="D28" s="42"/>
      <c r="E28" s="43"/>
      <c r="F28" s="44"/>
      <c r="G28" s="45"/>
      <c r="H28" s="46"/>
      <c r="I28" s="15" t="str">
        <f t="shared" si="1"/>
        <v/>
      </c>
      <c r="J28" s="20"/>
      <c r="K28" s="17" t="str">
        <f t="shared" si="3"/>
        <v/>
      </c>
      <c r="L28" s="21"/>
    </row>
    <row r="29" spans="8:8" ht="15.75" customHeight="1">
      <c r="A29" s="59">
        <v>44985.0</v>
      </c>
      <c r="B29" s="10">
        <f t="shared" si="0"/>
        <v>0.0</v>
      </c>
      <c r="C29" s="41"/>
      <c r="D29" s="42"/>
      <c r="E29" s="43"/>
      <c r="F29" s="44"/>
      <c r="G29" s="45"/>
      <c r="H29" s="46"/>
      <c r="I29" s="15" t="str">
        <f t="shared" si="1"/>
        <v/>
      </c>
      <c r="J29" s="20"/>
      <c r="K29" s="17" t="str">
        <f t="shared" si="3"/>
        <v/>
      </c>
      <c r="L29" s="21"/>
    </row>
    <row r="31" spans="8:8" ht="15.1">
      <c r="F31" s="1">
        <f>E24+E17+E21</f>
        <v>115.4169282895833</v>
      </c>
    </row>
    <row r="33" spans="8:8" ht="15.75" customHeight="1">
      <c r="C33" s="66"/>
      <c r="D33" s="67"/>
      <c r="E33" s="68"/>
      <c r="F33" s="69"/>
      <c r="G33" s="69"/>
      <c r="H33" s="70"/>
      <c r="I33" s="70"/>
      <c r="J33" s="70"/>
      <c r="K33" s="71"/>
      <c r="L33" s="72"/>
      <c r="M33" s="73"/>
      <c r="N33" s="70"/>
    </row>
  </sheetData>
  <mergeCells count="1">
    <mergeCell ref="T12:U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Kingsoft Office</Application>
  <DocSecurity>0</DocSecurity>
  <ScaleCrop>0</ScaleCrop>
  <LinksUpToDate>0</LinksUpToDate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MerFon MRF</dc:creator>
  <cp:lastModifiedBy>MerFon MRF</cp:lastModifiedBy>
  <dcterms:created xsi:type="dcterms:W3CDTF">2021-11-07T05:51:25Z</dcterms:created>
  <dcterms:modified xsi:type="dcterms:W3CDTF">2023-02-26T21:21:35Z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dc42dff0acc048b4a11e95c628cfa369</vt:lpwstr>
  </property>
</Properties>
</file>