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57150" windowWidth="20490" windowHeight="7140" tabRatio="600" firstSheet="0" activeTab="1" autoFilterDateGrouping="1"/>
  </bookViews>
  <sheets>
    <sheet name="January" sheetId="1" state="visible" r:id="rId1"/>
    <sheet name="February" sheetId="2" state="visible" r:id="rId2"/>
  </sheets>
  <definedNames/>
  <calcPr calcId="179021" calcMode="manual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_-[$$-409]* #,##0.00_ ;_-[$$-409]* \-#,##0.00\ ;_-[$$-409]* &quot;-&quot;??_ ;_-@_ "/>
    <numFmt numFmtId="167" formatCode="0.000"/>
  </numFmts>
  <fonts count="7">
    <font>
      <name val="Calibri"/>
      <charset val="204"/>
      <family val="2"/>
      <color theme="1"/>
      <sz val="11"/>
      <scheme val="minor"/>
    </font>
    <font>
      <name val="Comic Sans MS"/>
      <charset val="204"/>
      <family val="4"/>
      <b val="1"/>
      <color theme="1"/>
      <sz val="13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color theme="1"/>
      <sz val="10"/>
      <scheme val="minor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2" fillId="0" borderId="0"/>
    <xf numFmtId="44" fontId="2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2" fontId="0" fillId="5" borderId="1" pivotButton="0" quotePrefix="0" xfId="0"/>
    <xf numFmtId="2" fontId="0" fillId="2" borderId="1" pivotButton="0" quotePrefix="0" xfId="0"/>
    <xf numFmtId="0" fontId="3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0" fontId="1" fillId="9" borderId="2" applyAlignment="1" pivotButton="0" quotePrefix="0" xfId="0">
      <alignment horizontal="left" vertical="top"/>
    </xf>
    <xf numFmtId="0" fontId="1" fillId="9" borderId="3" applyAlignment="1" pivotButton="0" quotePrefix="0" xfId="0">
      <alignment horizontal="left" vertical="top"/>
    </xf>
    <xf numFmtId="0" fontId="1" fillId="9" borderId="8" applyAlignment="1" pivotButton="0" quotePrefix="0" xfId="0">
      <alignment horizontal="left" vertical="top"/>
    </xf>
    <xf numFmtId="0" fontId="1" fillId="9" borderId="10" applyAlignment="1" pivotButton="0" quotePrefix="0" xfId="0">
      <alignment horizontal="left" vertical="top"/>
    </xf>
    <xf numFmtId="0" fontId="3" fillId="9" borderId="6" applyAlignment="1" pivotButton="0" quotePrefix="0" xfId="0">
      <alignment horizontal="left" vertical="top"/>
    </xf>
    <xf numFmtId="0" fontId="1" fillId="9" borderId="1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  <xf numFmtId="2" fontId="3" fillId="8" borderId="1" applyAlignment="1" pivotButton="0" quotePrefix="0" xfId="0">
      <alignment horizontal="left" vertical="top"/>
    </xf>
    <xf numFmtId="0" fontId="4" fillId="0" borderId="0" pivotButton="0" quotePrefix="0" xfId="0"/>
    <xf numFmtId="2" fontId="3" fillId="0" borderId="0" applyAlignment="1" pivotButton="0" quotePrefix="0" xfId="0">
      <alignment horizontal="left" vertical="top"/>
    </xf>
    <xf numFmtId="1" fontId="0" fillId="0" borderId="0" pivotButton="0" quotePrefix="0" xfId="0"/>
    <xf numFmtId="2" fontId="3" fillId="6" borderId="1" applyAlignment="1" pivotButton="0" quotePrefix="0" xfId="0">
      <alignment horizontal="left" vertical="top"/>
    </xf>
    <xf numFmtId="2" fontId="3" fillId="6" borderId="4" applyAlignment="1" pivotButton="0" quotePrefix="0" xfId="0">
      <alignment horizontal="left" vertical="top"/>
    </xf>
    <xf numFmtId="0" fontId="3" fillId="8" borderId="4" applyAlignment="1" pivotButton="0" quotePrefix="0" xfId="0">
      <alignment horizontal="left" vertical="top"/>
    </xf>
    <xf numFmtId="0" fontId="3" fillId="9" borderId="5" applyAlignment="1" pivotButton="0" quotePrefix="0" xfId="0">
      <alignment horizontal="left" vertical="top"/>
    </xf>
    <xf numFmtId="14" fontId="0" fillId="7" borderId="13" applyAlignment="1" pivotButton="0" quotePrefix="0" xfId="0">
      <alignment horizontal="left" vertical="top"/>
    </xf>
    <xf numFmtId="14" fontId="0" fillId="7" borderId="14" applyAlignment="1" pivotButton="0" quotePrefix="0" xfId="0">
      <alignment horizontal="left" vertical="top"/>
    </xf>
    <xf numFmtId="0" fontId="1" fillId="9" borderId="9" applyAlignment="1" pivotButton="0" quotePrefix="0" xfId="0">
      <alignment horizontal="left" vertical="top"/>
    </xf>
    <xf numFmtId="0" fontId="6" fillId="0" borderId="0" pivotButton="0" quotePrefix="0" xfId="0"/>
    <xf numFmtId="1" fontId="3" fillId="9" borderId="7" applyAlignment="1" pivotButton="0" quotePrefix="0" xfId="1">
      <alignment horizontal="center" vertical="center"/>
    </xf>
    <xf numFmtId="1" fontId="3" fillId="9" borderId="1" applyAlignment="1" pivotButton="0" quotePrefix="0" xfId="1">
      <alignment horizontal="center" vertical="center"/>
    </xf>
    <xf numFmtId="0" fontId="3" fillId="9" borderId="6" applyAlignment="1" pivotButton="0" quotePrefix="0" xfId="0">
      <alignment horizontal="left" vertical="top" indent="1"/>
    </xf>
    <xf numFmtId="0" fontId="3" fillId="11" borderId="1" applyAlignment="1" pivotButton="0" quotePrefix="0" xfId="0">
      <alignment horizontal="left" vertical="top"/>
    </xf>
    <xf numFmtId="0" fontId="1" fillId="7" borderId="12" applyAlignment="1" pivotButton="0" quotePrefix="0" xfId="0">
      <alignment horizontal="left" vertical="top"/>
    </xf>
    <xf numFmtId="2" fontId="0" fillId="0" borderId="0" applyAlignment="1" pivotButton="0" quotePrefix="0" xfId="0">
      <alignment horizontal="left" vertical="top"/>
    </xf>
    <xf numFmtId="1" fontId="3" fillId="0" borderId="0" applyAlignment="1" pivotButton="0" quotePrefix="0" xfId="1">
      <alignment horizontal="center" vertical="center"/>
    </xf>
    <xf numFmtId="2" fontId="0" fillId="0" borderId="0" pivotButton="0" quotePrefix="0" xfId="0"/>
    <xf numFmtId="0" fontId="3" fillId="11" borderId="7" applyAlignment="1" pivotButton="0" quotePrefix="0" xfId="0">
      <alignment horizontal="left" vertical="top"/>
    </xf>
    <xf numFmtId="2" fontId="3" fillId="8" borderId="4" applyAlignment="1" pivotButton="0" quotePrefix="0" xfId="0">
      <alignment horizontal="left" vertical="top"/>
    </xf>
    <xf numFmtId="0" fontId="3" fillId="9" borderId="1" applyAlignment="1" pivotButton="0" quotePrefix="0" xfId="1">
      <alignment horizontal="center" vertical="center"/>
    </xf>
    <xf numFmtId="2" fontId="0" fillId="10" borderId="15" applyAlignment="1" pivotButton="0" quotePrefix="0" xfId="0">
      <alignment horizontal="left" vertical="top"/>
    </xf>
    <xf numFmtId="2" fontId="3" fillId="8" borderId="17" applyAlignment="1" pivotButton="0" quotePrefix="0" xfId="0">
      <alignment horizontal="left" vertical="top"/>
    </xf>
    <xf numFmtId="2" fontId="3" fillId="6" borderId="17" applyAlignment="1" pivotButton="0" quotePrefix="0" xfId="0">
      <alignment horizontal="left" vertical="top"/>
    </xf>
    <xf numFmtId="0" fontId="3" fillId="11" borderId="17" applyAlignment="1" pivotButton="0" quotePrefix="0" xfId="0">
      <alignment horizontal="left" vertical="top"/>
    </xf>
    <xf numFmtId="0" fontId="3" fillId="8" borderId="17" applyAlignment="1" pivotButton="0" quotePrefix="0" xfId="0">
      <alignment horizontal="left" vertical="top"/>
    </xf>
    <xf numFmtId="1" fontId="3" fillId="9" borderId="17" applyAlignment="1" pivotButton="0" quotePrefix="0" xfId="1">
      <alignment horizontal="center" vertical="center"/>
    </xf>
    <xf numFmtId="0" fontId="3" fillId="9" borderId="18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14" fontId="0" fillId="7" borderId="19" applyAlignment="1" pivotButton="0" quotePrefix="0" xfId="0">
      <alignment horizontal="left" vertical="top"/>
    </xf>
    <xf numFmtId="2" fontId="3" fillId="12" borderId="1" applyAlignment="1" pivotButton="0" quotePrefix="0" xfId="0">
      <alignment horizontal="left" vertical="top"/>
    </xf>
    <xf numFmtId="0" fontId="3" fillId="12" borderId="1" applyAlignment="1" pivotButton="0" quotePrefix="0" xfId="0">
      <alignment horizontal="left" vertical="top"/>
    </xf>
    <xf numFmtId="14" fontId="0" fillId="7" borderId="1" applyAlignment="1" pivotButton="0" quotePrefix="0" xfId="0">
      <alignment horizontal="left" vertical="top"/>
    </xf>
    <xf numFmtId="164" fontId="3" fillId="12" borderId="1" applyAlignment="1" pivotButton="0" quotePrefix="0" xfId="0">
      <alignment horizontal="left" vertical="top" wrapText="1"/>
    </xf>
    <xf numFmtId="165" fontId="3" fillId="12" borderId="1" applyAlignment="1" pivotButton="0" quotePrefix="0" xfId="0">
      <alignment horizontal="left" vertical="top"/>
    </xf>
    <xf numFmtId="166" fontId="3" fillId="9" borderId="1" applyAlignment="1" pivotButton="0" quotePrefix="0" xfId="1">
      <alignment horizontal="left" vertical="top"/>
    </xf>
    <xf numFmtId="166" fontId="3" fillId="9" borderId="1" applyAlignment="1" pivotButton="0" quotePrefix="0" xfId="0">
      <alignment horizontal="left" vertical="top"/>
    </xf>
    <xf numFmtId="166" fontId="0" fillId="5" borderId="1" pivotButton="0" quotePrefix="0" xfId="0"/>
    <xf numFmtId="166" fontId="0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4" fontId="3" fillId="11" borderId="1" applyAlignment="1" pivotButton="0" quotePrefix="0" xfId="0">
      <alignment horizontal="left" vertical="top" wrapText="1"/>
    </xf>
    <xf numFmtId="165" fontId="3" fillId="6" borderId="1" applyAlignment="1" pivotButton="0" quotePrefix="0" xfId="0">
      <alignment horizontal="left" vertical="top"/>
    </xf>
    <xf numFmtId="164" fontId="3" fillId="11" borderId="17" applyAlignment="1" pivotButton="0" quotePrefix="0" xfId="0">
      <alignment horizontal="left" vertical="top" wrapText="1"/>
    </xf>
    <xf numFmtId="165" fontId="3" fillId="6" borderId="16" applyAlignment="1" pivotButton="0" quotePrefix="0" xfId="0">
      <alignment horizontal="left" vertical="top"/>
    </xf>
    <xf numFmtId="167" fontId="3" fillId="11" borderId="4" applyAlignment="1" pivotButton="0" quotePrefix="0" xfId="0">
      <alignment horizontal="left" vertical="top" wrapText="1"/>
    </xf>
    <xf numFmtId="165" fontId="3" fillId="6" borderId="4" applyAlignment="1" pivotButton="0" quotePrefix="0" xfId="0">
      <alignment horizontal="left" vertical="top"/>
    </xf>
    <xf numFmtId="164" fontId="3" fillId="0" borderId="0" applyAlignment="1" pivotButton="0" quotePrefix="0" xfId="0">
      <alignment horizontal="left" vertical="top" wrapText="1"/>
    </xf>
    <xf numFmtId="166" fontId="3" fillId="0" borderId="0" applyAlignment="1" pivotButton="0" quotePrefix="0" xfId="1">
      <alignment horizontal="left" vertical="top"/>
    </xf>
    <xf numFmtId="166" fontId="3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2">
    <cellStyle name="Обычный" xfId="0" builtinId="0"/>
    <cellStyle name="Денежный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topLeftCell="A16" zoomScale="85" zoomScaleNormal="85" workbookViewId="0">
      <selection activeCell="P6" sqref="P6"/>
    </sheetView>
  </sheetViews>
  <sheetFormatPr baseColWidth="8" defaultRowHeight="15"/>
  <cols>
    <col width="9.85546875" customWidth="1" style="73" min="1" max="1"/>
    <col width="11.140625" bestFit="1" customWidth="1" style="73" min="3" max="3"/>
    <col width="12" customWidth="1" style="73" min="4" max="4"/>
    <col width="14.5703125" customWidth="1" style="73" min="5" max="7"/>
    <col width="15.85546875" customWidth="1" style="73" min="8" max="8"/>
    <col width="14.140625" customWidth="1" style="73" min="9" max="10"/>
    <col width="12.5703125" customWidth="1" style="73" min="11" max="11"/>
    <col width="17.140625" customWidth="1" style="73" min="12" max="12"/>
    <col width="12.140625" customWidth="1" style="73" min="13" max="13"/>
    <col width="37" customWidth="1" style="73" min="14" max="14"/>
    <col width="13" customWidth="1" style="73" min="16" max="16"/>
    <col width="14.140625" customWidth="1" style="73" min="18" max="18"/>
    <col width="9.42578125" customWidth="1" style="73" min="19" max="19"/>
    <col width="11.28515625" customWidth="1" style="73" min="20" max="20"/>
    <col width="10.7109375" customWidth="1" style="73" min="21" max="21"/>
    <col width="11.140625" customWidth="1" style="73" min="22" max="22"/>
  </cols>
  <sheetData>
    <row r="1" ht="21.75" customHeight="1" s="73" thickBot="1">
      <c r="A1" s="34" t="inlineStr">
        <is>
          <t>Датта</t>
        </is>
      </c>
      <c r="B1" s="28" t="inlineStr">
        <is>
          <t>rave fee</t>
        </is>
      </c>
      <c r="C1" s="16" t="inlineStr">
        <is>
          <t>COIN 1</t>
        </is>
      </c>
      <c r="D1" s="16" t="inlineStr">
        <is>
          <t>COIN 2</t>
        </is>
      </c>
      <c r="E1" s="16" t="inlineStr">
        <is>
          <t>COIN 3</t>
        </is>
      </c>
      <c r="F1" s="11" t="inlineStr">
        <is>
          <t>Курс coin 1</t>
        </is>
      </c>
      <c r="G1" s="11" t="inlineStr">
        <is>
          <t>Курс coin 2</t>
        </is>
      </c>
      <c r="H1" s="11" t="inlineStr">
        <is>
          <t>Курс coin 3</t>
        </is>
      </c>
      <c r="I1" s="12" t="inlineStr">
        <is>
          <t>Выручка</t>
        </is>
      </c>
      <c r="J1" s="16" t="inlineStr">
        <is>
          <t>Потребление</t>
        </is>
      </c>
      <c r="K1" s="13" t="inlineStr">
        <is>
          <t>Чистыми</t>
        </is>
      </c>
      <c r="L1" s="14" t="inlineStr">
        <is>
          <t>Примечание</t>
        </is>
      </c>
    </row>
    <row r="2" ht="15.75" customHeight="1" s="73">
      <c r="A2" s="26" t="n">
        <v>44927</v>
      </c>
      <c r="B2" s="41">
        <f>IF(J2&gt;0,J2/$P$5*$O$5, 0)</f>
        <v/>
      </c>
      <c r="C2" s="53" t="n"/>
      <c r="D2" s="50" t="n"/>
      <c r="E2" s="50" t="n"/>
      <c r="F2" s="51" t="n"/>
      <c r="G2" s="51" t="n"/>
      <c r="H2" s="54" t="n"/>
      <c r="I2" s="55">
        <f>IF(OR(F2&gt;0,D2&gt;0,E2&gt;0),C2*F2+D2*G2+E2*H2,"")</f>
        <v/>
      </c>
      <c r="J2" s="30" t="n"/>
      <c r="K2" s="56">
        <f>IF(OR(F2&gt;0,G2&gt;0,H2&gt;0),I2-(J2/1000*($R$11/$S$11)+B2),"")</f>
        <v/>
      </c>
      <c r="L2" s="25" t="n"/>
    </row>
    <row r="3" ht="15.75" customHeight="1" s="73">
      <c r="A3" s="27" t="n">
        <v>44928</v>
      </c>
      <c r="B3" s="41">
        <f>IF(J3&gt;0,J3/$P$5*$O$5, 0)</f>
        <v/>
      </c>
      <c r="C3" s="53" t="n"/>
      <c r="D3" s="50" t="n"/>
      <c r="E3" s="50" t="n"/>
      <c r="F3" s="51" t="n"/>
      <c r="G3" s="51" t="n"/>
      <c r="H3" s="54" t="n"/>
      <c r="I3" s="55">
        <f>IF(OR(F3&gt;0,D3&gt;0,E3&gt;0),C3*F3+D3*G3+E3*H3,"")</f>
        <v/>
      </c>
      <c r="J3" s="31" t="n"/>
      <c r="K3" s="56">
        <f>IF(OR(F3&gt;0,G3&gt;0,H3&gt;0),I3-(J3/1000*($R$11/$S$11)+B3),"")</f>
        <v/>
      </c>
      <c r="L3" s="15" t="n"/>
    </row>
    <row r="4" ht="18.75" customHeight="1" s="73">
      <c r="A4" s="27" t="n">
        <v>44929</v>
      </c>
      <c r="B4" s="41">
        <f>IF(J4&gt;0,J4/$P$5*$O$5, 0)</f>
        <v/>
      </c>
      <c r="C4" s="53" t="n"/>
      <c r="D4" s="50" t="n"/>
      <c r="E4" s="50" t="n"/>
      <c r="F4" s="51" t="n"/>
      <c r="G4" s="51" t="n"/>
      <c r="H4" s="54" t="n"/>
      <c r="I4" s="55">
        <f>IF(OR(F4&gt;0,D4&gt;0,E4&gt;0),C4*F4+D4*G4+E4*H4,"")</f>
        <v/>
      </c>
      <c r="J4" s="31" t="n"/>
      <c r="K4" s="56">
        <f>IF(OR(F4&gt;0,G4&gt;0,H4&gt;0),I4-(J4/1000*($R$11/$S$11)+B4),"")</f>
        <v/>
      </c>
      <c r="L4" s="15" t="n"/>
      <c r="O4" t="inlineStr">
        <is>
          <t>rave fee</t>
        </is>
      </c>
      <c r="P4" t="inlineStr">
        <is>
          <t>макс. Потребление</t>
        </is>
      </c>
      <c r="R4" s="1" t="n"/>
      <c r="S4" s="5" t="inlineStr">
        <is>
          <t>В общем</t>
        </is>
      </c>
      <c r="T4" s="5" t="inlineStr">
        <is>
          <t>Максимум</t>
        </is>
      </c>
      <c r="U4" s="5" t="inlineStr">
        <is>
          <t>Минимум</t>
        </is>
      </c>
      <c r="V4" s="5" t="inlineStr">
        <is>
          <t>В среднем</t>
        </is>
      </c>
    </row>
    <row r="5" ht="15.75" customHeight="1" s="73">
      <c r="A5" s="27" t="n">
        <v>44930</v>
      </c>
      <c r="B5" s="41">
        <f>IF(J5&gt;0,J5/$P$5*$O$5, 0)</f>
        <v/>
      </c>
      <c r="C5" s="53" t="n"/>
      <c r="D5" s="50" t="n"/>
      <c r="E5" s="50" t="n"/>
      <c r="F5" s="51" t="n"/>
      <c r="G5" s="51" t="n"/>
      <c r="H5" s="54" t="n"/>
      <c r="I5" s="55">
        <f>IF(OR(F5&gt;0,D5&gt;0,E5&gt;0),C5*F5+D5*G5+E5*H5,"")</f>
        <v/>
      </c>
      <c r="J5" s="31" t="n"/>
      <c r="K5" s="56">
        <f>IF(OR(F5&gt;0,G5&gt;0,H5&gt;0),I5-(J5/1000*($R$11/$S$11)+B5),"")</f>
        <v/>
      </c>
      <c r="L5" s="15" t="n"/>
      <c r="O5" t="n">
        <v>0.1</v>
      </c>
      <c r="P5" t="n">
        <v>12000</v>
      </c>
      <c r="R5" s="4" t="inlineStr">
        <is>
          <t>Выручка</t>
        </is>
      </c>
      <c r="S5" s="57">
        <f>SUM(I2:I32)</f>
        <v/>
      </c>
      <c r="T5" s="57">
        <f>MAX(I2:I32)</f>
        <v/>
      </c>
      <c r="U5" s="57">
        <f>MIN(I2:I32)</f>
        <v/>
      </c>
      <c r="V5" s="7">
        <f>AVERAGEIF(I2:I32,"&gt;0")</f>
        <v/>
      </c>
    </row>
    <row r="6" ht="15.75" customHeight="1" s="73">
      <c r="A6" s="27" t="n">
        <v>44931</v>
      </c>
      <c r="B6" s="41">
        <f>IF(J6&gt;0,J6/$P$5*$O$5, 0)</f>
        <v/>
      </c>
      <c r="C6" s="53" t="n"/>
      <c r="D6" s="50" t="n"/>
      <c r="E6" s="50" t="n"/>
      <c r="F6" s="51" t="n"/>
      <c r="G6" s="51" t="n"/>
      <c r="H6" s="54" t="n"/>
      <c r="I6" s="55">
        <f>IF(OR(F6&gt;0,D6&gt;0,E6&gt;0),C6*F6+D6*G6+E6*H6,"")</f>
        <v/>
      </c>
      <c r="J6" s="31" t="n"/>
      <c r="K6" s="56">
        <f>IF(OR(F6&gt;0,G6&gt;0,H6&gt;0),I6-(J6/1000*($R$11/$S$11)+B6),"")</f>
        <v/>
      </c>
      <c r="L6" s="15" t="n"/>
      <c r="R6" s="3" t="inlineStr">
        <is>
          <t>Чистыми</t>
        </is>
      </c>
      <c r="S6" s="58">
        <f>SUM(K2:K32)</f>
        <v/>
      </c>
      <c r="T6" s="58">
        <f>MAX(K2:K32)</f>
        <v/>
      </c>
      <c r="U6" s="58">
        <f>MIN(K2:K32)</f>
        <v/>
      </c>
      <c r="V6" s="8">
        <f>AVERAGEIF(K2:K32,"&gt;0")</f>
        <v/>
      </c>
    </row>
    <row r="7" ht="15.75" customHeight="1" s="73">
      <c r="A7" s="27" t="n">
        <v>44932</v>
      </c>
      <c r="B7" s="41">
        <f>IF(J7&gt;0,J7/$P$5*$O$5, 0)</f>
        <v/>
      </c>
      <c r="C7" s="53" t="n"/>
      <c r="D7" s="50" t="n"/>
      <c r="E7" s="50" t="n"/>
      <c r="F7" s="51" t="n"/>
      <c r="G7" s="51" t="n"/>
      <c r="H7" s="54" t="n"/>
      <c r="I7" s="55">
        <f>IF(OR(F7&gt;0,D7&gt;0,E7&gt;0),C7*F7+D7*G7+E7*H7,"")</f>
        <v/>
      </c>
      <c r="J7" s="31" t="n"/>
      <c r="K7" s="56">
        <f>IF(OR(F7&gt;0,G7&gt;0,H7&gt;0),I7-(J7/1000*($R$11/$S$11)+B7),"")</f>
        <v/>
      </c>
      <c r="L7" s="15" t="n"/>
      <c r="R7" s="2" t="inlineStr">
        <is>
          <t>Хешрейт</t>
        </is>
      </c>
      <c r="S7" s="6" t="inlineStr">
        <is>
          <t>-</t>
        </is>
      </c>
      <c r="T7" s="2">
        <f>MAX(#REF!)</f>
        <v/>
      </c>
      <c r="U7" s="2">
        <f>MIN(#REF!)</f>
        <v/>
      </c>
      <c r="V7" s="2">
        <f>AVERAGEIF(#REF!, "&gt;0")</f>
        <v/>
      </c>
    </row>
    <row r="8" ht="15.75" customHeight="1" s="73">
      <c r="A8" s="27" t="n">
        <v>44933</v>
      </c>
      <c r="B8" s="41">
        <f>IF(J8&gt;0,J8/$P$5*$O$5, 0)</f>
        <v/>
      </c>
      <c r="C8" s="53" t="n"/>
      <c r="D8" s="50" t="n"/>
      <c r="E8" s="50" t="n"/>
      <c r="F8" s="51" t="n"/>
      <c r="G8" s="51" t="n"/>
      <c r="H8" s="54" t="n"/>
      <c r="I8" s="55">
        <f>IF(OR(F8&gt;0,D8&gt;0,E8&gt;0),C8*F8+D8*G8+E8*H8,"")</f>
        <v/>
      </c>
      <c r="J8" s="31" t="n"/>
      <c r="K8" s="56">
        <f>IF(OR(F8&gt;0,G8&gt;0,H8&gt;0),I8-(J8/1000*($R$11/$S$11)+B8),"")</f>
        <v/>
      </c>
      <c r="L8" s="15" t="n"/>
      <c r="P8" s="59" t="n"/>
    </row>
    <row r="9" ht="15.75" customHeight="1" s="73">
      <c r="A9" s="27" t="n">
        <v>44934</v>
      </c>
      <c r="B9" s="41">
        <f>IF(J9&gt;0,J9/$P$5*$O$5, 0)</f>
        <v/>
      </c>
      <c r="C9" s="53" t="n"/>
      <c r="D9" s="50" t="n"/>
      <c r="E9" s="50" t="n"/>
      <c r="F9" s="51" t="n"/>
      <c r="G9" s="51" t="n"/>
      <c r="H9" s="54" t="n"/>
      <c r="I9" s="55">
        <f>IF(OR(F9&gt;0,D9&gt;0,E9&gt;0),C9*F9+D9*G9+E9*H9,"")</f>
        <v/>
      </c>
      <c r="J9" s="31" t="n"/>
      <c r="K9" s="56">
        <f>IF(OR(F9&gt;0,G9&gt;0,H9&gt;0),I9-(J9/1000*($R$11/$S$11)+B9),"")</f>
        <v/>
      </c>
      <c r="L9" s="15" t="n"/>
      <c r="O9" s="37" t="n"/>
      <c r="P9" s="59" t="n"/>
    </row>
    <row r="10" ht="15.75" customHeight="1" s="73">
      <c r="A10" s="27" t="n">
        <v>44935</v>
      </c>
      <c r="B10" s="41">
        <f>IF(J10&gt;0,J10/$P$5*$O$5, 0)</f>
        <v/>
      </c>
      <c r="C10" s="53" t="n"/>
      <c r="D10" s="50" t="n"/>
      <c r="E10" s="50" t="n"/>
      <c r="F10" s="51" t="n"/>
      <c r="G10" s="51" t="n"/>
      <c r="H10" s="54" t="n"/>
      <c r="I10" s="55">
        <f>IF(OR(F10&gt;0,D10&gt;0,E10&gt;0),C10*F10+D10*G10+E10*H10,"")</f>
        <v/>
      </c>
      <c r="J10" s="31" t="n"/>
      <c r="K10" s="56">
        <f>IF(OR(F10&gt;0,G10&gt;0,H10&gt;0),I10-(J10/1000*($R$11/$S$11)+B10),"")</f>
        <v/>
      </c>
      <c r="L10" s="15" t="n"/>
      <c r="P10" s="60" t="n"/>
      <c r="Q10" s="19" t="n"/>
      <c r="R10" s="29" t="inlineStr">
        <is>
          <t>cost energy UAH</t>
        </is>
      </c>
      <c r="S10" s="29" t="inlineStr">
        <is>
          <t>USDT/UAH</t>
        </is>
      </c>
    </row>
    <row r="11" ht="15.75" customHeight="1" s="73">
      <c r="A11" s="27" t="n">
        <v>44936</v>
      </c>
      <c r="B11" s="41">
        <f>IF(J11&gt;0,J11/$P$5*$O$5, 0)</f>
        <v/>
      </c>
      <c r="C11" s="53" t="n"/>
      <c r="D11" s="50" t="n"/>
      <c r="E11" s="50" t="n"/>
      <c r="F11" s="51" t="n"/>
      <c r="G11" s="51" t="n"/>
      <c r="H11" s="54" t="n"/>
      <c r="I11" s="55">
        <f>IF(OR(F11&gt;0,D11&gt;0,E11&gt;0),C11*F11+D11*G11+E11*H11,"")</f>
        <v/>
      </c>
      <c r="J11" s="31" t="n"/>
      <c r="K11" s="56">
        <f>IF(OR(F11&gt;0,G11&gt;0,H11&gt;0),I11-(J11/1000*($R$11/$S$11)+B11),"")</f>
        <v/>
      </c>
      <c r="L11" s="15" t="n"/>
      <c r="P11" s="37" t="n"/>
      <c r="Q11" s="19" t="n"/>
      <c r="R11" t="n">
        <v>1.71</v>
      </c>
      <c r="S11" t="n">
        <v>39.4</v>
      </c>
    </row>
    <row r="12" ht="15.75" customHeight="1" s="73">
      <c r="A12" s="27" t="n">
        <v>44937</v>
      </c>
      <c r="B12" s="41">
        <f>IF(J12&gt;0,J12/$P$5*$O$5, 0)</f>
        <v/>
      </c>
      <c r="C12" s="53" t="n"/>
      <c r="D12" s="50" t="n"/>
      <c r="E12" s="50" t="n"/>
      <c r="F12" s="51" t="n"/>
      <c r="G12" s="51" t="n"/>
      <c r="H12" s="54" t="n"/>
      <c r="I12" s="55">
        <f>IF(OR(F12&gt;0,D12&gt;0,E12&gt;0),C12*F12+D12*G12+E12*H12,"")</f>
        <v/>
      </c>
      <c r="J12" s="31" t="n"/>
      <c r="K12" s="56">
        <f>IF(OR(F12&gt;0,G12&gt;0,H12&gt;0),I12-(J12/1000*($R$11/$S$11)+B12),"")</f>
        <v/>
      </c>
      <c r="L12" s="15" t="n"/>
      <c r="P12" s="59" t="n"/>
      <c r="Q12" s="19" t="n"/>
      <c r="R12" s="59" t="n"/>
      <c r="T12" s="72" t="n"/>
      <c r="V12" s="21" t="n"/>
    </row>
    <row r="13" ht="15.75" customHeight="1" s="73">
      <c r="A13" s="27" t="n">
        <v>44938</v>
      </c>
      <c r="B13" s="41">
        <f>IF(J13&gt;0,J13/$P$5*$O$5, 0)</f>
        <v/>
      </c>
      <c r="C13" s="53" t="n"/>
      <c r="D13" s="50" t="n"/>
      <c r="E13" s="50" t="n"/>
      <c r="F13" s="51" t="n"/>
      <c r="G13" s="51" t="n"/>
      <c r="H13" s="54" t="n"/>
      <c r="I13" s="55">
        <f>IF(OR(F13&gt;0,D13&gt;0,E13&gt;0),C13*F13+D13*G13+E13*H13,"")</f>
        <v/>
      </c>
      <c r="J13" s="31" t="n"/>
      <c r="K13" s="56">
        <f>IF(OR(F13&gt;0,G13&gt;0,H13&gt;0),I13-(J13/1000*($R$11/$S$11)+B13),"")</f>
        <v/>
      </c>
      <c r="L13" s="15" t="n"/>
      <c r="P13" s="61" t="n"/>
      <c r="Q13" s="19" t="n"/>
      <c r="R13" s="59" t="n"/>
    </row>
    <row r="14" ht="15.75" customHeight="1" s="73">
      <c r="A14" s="27" t="n">
        <v>44939</v>
      </c>
      <c r="B14" s="41">
        <f>IF(J14&gt;0,J14/$P$5*$O$5, 0)</f>
        <v/>
      </c>
      <c r="C14" s="53" t="n"/>
      <c r="D14" s="50" t="n"/>
      <c r="E14" s="50" t="n"/>
      <c r="F14" s="51" t="n"/>
      <c r="G14" s="51" t="n"/>
      <c r="H14" s="54" t="n"/>
      <c r="I14" s="55">
        <f>IF(OR(F14&gt;0,D14&gt;0,E14&gt;0),C14*F14+D14*G14+E14*H14,"")</f>
        <v/>
      </c>
      <c r="J14" s="31" t="n"/>
      <c r="K14" s="56">
        <f>IF(OR(F14&gt;0,G14&gt;0,H14&gt;0),I14-(J14/1000*($R$11/$S$11)+B14),"")</f>
        <v/>
      </c>
      <c r="L14" s="15" t="n"/>
      <c r="Q14" s="19" t="n"/>
      <c r="R14" s="59" t="n"/>
    </row>
    <row r="15" ht="15.75" customHeight="1" s="73">
      <c r="A15" s="27" t="n">
        <v>44940</v>
      </c>
      <c r="B15" s="41">
        <f>IF(J15&gt;0,J15/$P$5*$O$5, 0)</f>
        <v/>
      </c>
      <c r="C15" s="53" t="n"/>
      <c r="D15" s="50" t="n"/>
      <c r="E15" s="50" t="n"/>
      <c r="F15" s="51" t="n"/>
      <c r="G15" s="51" t="n"/>
      <c r="H15" s="54" t="n"/>
      <c r="I15" s="55">
        <f>IF(OR(F15&gt;0,D15&gt;0,E15&gt;0),C15*F15+D15*G15+E15*H15,"")</f>
        <v/>
      </c>
      <c r="J15" s="31" t="n"/>
      <c r="K15" s="56">
        <f>IF(OR(F15&gt;0,G15&gt;0,H15&gt;0),I15-(J15/1000*($R$11/$S$11)+B15),"")</f>
        <v/>
      </c>
      <c r="L15" s="15" t="n"/>
      <c r="P15" s="59" t="n"/>
    </row>
    <row r="16" ht="17.25" customHeight="1" s="73">
      <c r="A16" s="27" t="n">
        <v>44941</v>
      </c>
      <c r="B16" s="41">
        <f>IF(J16&gt;0,J16/$P$5*$O$5, 0)</f>
        <v/>
      </c>
      <c r="C16" s="62" t="n">
        <v>0.051712</v>
      </c>
      <c r="D16" s="18" t="n">
        <v>1.6409</v>
      </c>
      <c r="E16" s="22" t="n">
        <v>17</v>
      </c>
      <c r="F16" s="33" t="n">
        <v>4</v>
      </c>
      <c r="G16" s="17" t="n">
        <v>0.02905</v>
      </c>
      <c r="H16" s="63" t="n">
        <v>0.0062</v>
      </c>
      <c r="I16" s="55">
        <f>IF(OR(F16&gt;0,D16&gt;0,E16&gt;0),C16*F16+D16*G16+E16*H16,"")</f>
        <v/>
      </c>
      <c r="J16" s="31" t="n">
        <v>5260</v>
      </c>
      <c r="K16" s="56">
        <f>IF(OR(F16&gt;0,G16&gt;0,H16&gt;0),I16-(J16/1000*($R$11/$S$11)+B16),"")</f>
        <v/>
      </c>
      <c r="L16" s="15" t="n"/>
    </row>
    <row r="17" ht="15.75" customHeight="1" s="73">
      <c r="A17" s="27" t="n">
        <v>44942</v>
      </c>
      <c r="B17" s="41">
        <f>IF(J17&gt;0,J17/$P$5*$O$5, 0)</f>
        <v/>
      </c>
      <c r="C17" s="62" t="n">
        <v>0.074756</v>
      </c>
      <c r="D17" s="18" t="n">
        <v>3.24</v>
      </c>
      <c r="E17" s="22" t="n">
        <v>26</v>
      </c>
      <c r="F17" s="33" t="n">
        <v>5.13</v>
      </c>
      <c r="G17" s="17" t="n">
        <v>0.03145</v>
      </c>
      <c r="H17" s="63" t="n">
        <v>0.0062</v>
      </c>
      <c r="I17" s="55">
        <f>IF(OR(F17&gt;0,D17&gt;0,E17&gt;0),C17*F17+D17*G17+E17*H17,"")</f>
        <v/>
      </c>
      <c r="J17" s="31" t="n">
        <v>8130</v>
      </c>
      <c r="K17" s="56">
        <f>IF(OR(F17&gt;0,G17&gt;0,H17&gt;0),I17-(J17/1000*($R$11/$S$11)+B17),"")</f>
        <v/>
      </c>
      <c r="L17" s="15" t="n"/>
    </row>
    <row r="18" ht="15.75" customHeight="1" s="73">
      <c r="A18" s="27" t="n">
        <v>44943</v>
      </c>
      <c r="B18" s="41">
        <f>IF(J18&gt;0,J18/$P$5*$O$5, 0)</f>
        <v/>
      </c>
      <c r="C18" s="62" t="n">
        <v>0.06918199999999999</v>
      </c>
      <c r="D18" s="18" t="n">
        <v>2.35</v>
      </c>
      <c r="E18" s="22" t="n">
        <v>22</v>
      </c>
      <c r="F18" s="33" t="n">
        <v>5.13</v>
      </c>
      <c r="G18" s="17" t="n">
        <v>0.03145</v>
      </c>
      <c r="H18" s="63" t="n">
        <v>0.0062</v>
      </c>
      <c r="I18" s="55">
        <f>IF(OR(F18&gt;0,D18&gt;0,E18&gt;0),C18*F18+D18*G18+E18*H18,"")</f>
        <v/>
      </c>
      <c r="J18" s="31" t="n">
        <v>6300</v>
      </c>
      <c r="K18" s="56">
        <f>IF(OR(F18&gt;0,G18&gt;0,H18&gt;0),I18-(J18/1000*($R$11/$S$11)+B18),"")</f>
        <v/>
      </c>
      <c r="L18" s="15" t="n"/>
    </row>
    <row r="19" ht="15.75" customHeight="1" s="73">
      <c r="A19" s="27" t="n">
        <v>44944</v>
      </c>
      <c r="B19" s="41">
        <f>IF(J19&gt;0,J19/$P$5*$O$5, 0)</f>
        <v/>
      </c>
      <c r="C19" s="62" t="n">
        <v>0.069816</v>
      </c>
      <c r="D19" s="18" t="n">
        <v>3.22</v>
      </c>
      <c r="E19" s="22" t="n">
        <v>20</v>
      </c>
      <c r="F19" s="33" t="n">
        <v>5.13</v>
      </c>
      <c r="G19" s="17" t="n">
        <v>0.03145</v>
      </c>
      <c r="H19" s="63" t="n">
        <v>0.0062</v>
      </c>
      <c r="I19" s="55">
        <f>IF(OR(F19&gt;0,D19&gt;0,E19&gt;0),C19*F19+D19*G19+E19*H19,"")</f>
        <v/>
      </c>
      <c r="J19" s="31" t="n">
        <v>7910</v>
      </c>
      <c r="K19" s="56">
        <f>IF(OR(F19&gt;0,G19&gt;0,H19&gt;0),I19-(J19/1000*($R$11/$S$11)+B19),"")</f>
        <v/>
      </c>
      <c r="L19" s="32" t="n"/>
      <c r="P19" s="37" t="n"/>
    </row>
    <row r="20" ht="15.75" customHeight="1" s="73">
      <c r="A20" s="27" t="n">
        <v>44945</v>
      </c>
      <c r="B20" s="41">
        <f>IF(J20&gt;0,J20/$P$5*$O$5, 0)</f>
        <v/>
      </c>
      <c r="C20" s="62" t="n">
        <v>0.099934</v>
      </c>
      <c r="D20" s="18" t="n">
        <v>1.9383</v>
      </c>
      <c r="E20" s="22" t="n">
        <v>35</v>
      </c>
      <c r="F20" s="33" t="n">
        <v>4</v>
      </c>
      <c r="G20" s="17" t="n">
        <v>0.02905</v>
      </c>
      <c r="H20" s="63" t="n">
        <v>0.0062</v>
      </c>
      <c r="I20" s="55">
        <f>IF(OR(F20&gt;0,D20&gt;0,E20&gt;0),C20*F20+D20*G20+E20*H20,"")</f>
        <v/>
      </c>
      <c r="J20" s="31" t="n">
        <v>9400</v>
      </c>
      <c r="K20" s="56">
        <f>IF(OR(F20&gt;0,G20&gt;0,H20&gt;0),I20-(J20/1000*($R$11/$S$11)+B20),"")</f>
        <v/>
      </c>
      <c r="L20" s="15" t="n"/>
      <c r="P20" s="59" t="n"/>
    </row>
    <row r="21" ht="15.75" customHeight="1" s="73">
      <c r="A21" s="27" t="n">
        <v>44946</v>
      </c>
      <c r="B21" s="41">
        <f>IF(J21&gt;0,J21/$P$5*$O$5, 0)</f>
        <v/>
      </c>
      <c r="C21" s="62" t="n">
        <v>0.06895800000000001</v>
      </c>
      <c r="D21" s="18" t="n">
        <v>1.6625</v>
      </c>
      <c r="E21" s="22" t="n">
        <v>24</v>
      </c>
      <c r="F21" s="33" t="n">
        <v>3.9</v>
      </c>
      <c r="G21" s="17" t="n">
        <v>0.0277</v>
      </c>
      <c r="H21" s="63" t="n"/>
      <c r="I21" s="55">
        <f>IF(OR(F21&gt;0,D21&gt;0,E21&gt;0),C21*F21+D21*G21+E21*H21,"")</f>
        <v/>
      </c>
      <c r="J21" s="31" t="n">
        <v>6820</v>
      </c>
      <c r="K21" s="56">
        <f>IF(OR(F21&gt;0,G21&gt;0,H21&gt;0),I21-(J21/1000*($R$11/$S$11)+B21),"")</f>
        <v/>
      </c>
      <c r="L21" s="15" t="n"/>
      <c r="P21" s="37" t="n"/>
    </row>
    <row r="22" ht="15.75" customHeight="1" s="73">
      <c r="A22" s="27" t="n">
        <v>44947</v>
      </c>
      <c r="B22" s="41">
        <f>IF(J22&gt;0,J22/$P$5*$O$5, 0)</f>
        <v/>
      </c>
      <c r="C22" s="62" t="n">
        <v>0.060244</v>
      </c>
      <c r="D22" s="18" t="n">
        <v>1.4204</v>
      </c>
      <c r="E22" s="22" t="n">
        <v>22</v>
      </c>
      <c r="F22" s="33" t="n">
        <v>3.7</v>
      </c>
      <c r="G22" s="17" t="n">
        <v>0.0277</v>
      </c>
      <c r="H22" s="63" t="n"/>
      <c r="I22" s="55">
        <f>IF(OR(F22&gt;0,D22&gt;0,E22&gt;0),C22*F22+D22*G22+E22*H22,"")</f>
        <v/>
      </c>
      <c r="J22" s="31" t="n">
        <v>5950</v>
      </c>
      <c r="K22" s="56">
        <f>IF(OR(F22&gt;0,G22&gt;0,H22&gt;0),I22-(J22/1000*($R$11/$S$11)+B22),"")</f>
        <v/>
      </c>
      <c r="L22" s="15" t="n"/>
      <c r="P22" s="59" t="n"/>
    </row>
    <row r="23" ht="15.75" customHeight="1" s="73">
      <c r="A23" s="27" t="n">
        <v>44948</v>
      </c>
      <c r="B23" s="41">
        <f>IF(J23&gt;0,J23/$P$5*$O$5, 0)</f>
        <v/>
      </c>
      <c r="C23" s="62" t="n">
        <v>0.016326</v>
      </c>
      <c r="D23" s="18" t="n">
        <v>0.5785</v>
      </c>
      <c r="E23" s="22" t="n">
        <v>6</v>
      </c>
      <c r="F23" s="33" t="n">
        <v>3.7</v>
      </c>
      <c r="G23" s="17" t="n">
        <v>0.0277</v>
      </c>
      <c r="H23" s="63" t="n"/>
      <c r="I23" s="55">
        <f>IF(OR(F23&gt;0,D23&gt;0,E23&gt;0),C23*F23+D23*G23+E23*H23,"")</f>
        <v/>
      </c>
      <c r="J23" s="31" t="n">
        <v>5950</v>
      </c>
      <c r="K23" s="56">
        <f>IF(OR(F23&gt;0,G23&gt;0,H23&gt;0),I23-(J23/1000*($R$11/$S$11)+B23),"")</f>
        <v/>
      </c>
      <c r="L23" s="15" t="n"/>
      <c r="O23" s="37" t="n"/>
    </row>
    <row r="24" ht="15.75" customHeight="1" s="73">
      <c r="A24" s="27" t="n">
        <v>44949</v>
      </c>
      <c r="B24" s="41">
        <f>IF(J24&gt;0,J24/$P$5*$O$5, 0)</f>
        <v/>
      </c>
      <c r="C24" s="62" t="n">
        <v>0.01813</v>
      </c>
      <c r="D24" s="18" t="n">
        <v>0.1924</v>
      </c>
      <c r="E24" s="22" t="n">
        <v>6.5</v>
      </c>
      <c r="F24" s="33" t="n">
        <v>3.7</v>
      </c>
      <c r="G24" s="17" t="n">
        <v>0.0277</v>
      </c>
      <c r="H24" s="63" t="n"/>
      <c r="I24" s="55">
        <f>IF(OR(F24&gt;0,D24&gt;0,E24&gt;0),C24*F24+D24*G24+E24*H24,"")</f>
        <v/>
      </c>
      <c r="J24" s="31" t="n">
        <v>1840</v>
      </c>
      <c r="K24" s="56">
        <f>IF(OR(F24&gt;0,G24&gt;0,H24&gt;0),I24-(J24/1000*($R$11/$S$11)+B24),"")</f>
        <v/>
      </c>
      <c r="L24" s="15" t="n"/>
    </row>
    <row r="25" ht="15.75" customHeight="1" s="73">
      <c r="A25" s="27" t="n">
        <v>44950</v>
      </c>
      <c r="B25" s="41">
        <f>IF(J25&gt;0,J25/$P$5*$O$5, 0)</f>
        <v/>
      </c>
      <c r="C25" s="62" t="n"/>
      <c r="D25" s="18" t="n"/>
      <c r="E25" s="22" t="n"/>
      <c r="F25" s="33" t="n"/>
      <c r="G25" s="17" t="n"/>
      <c r="H25" s="63" t="n"/>
      <c r="I25" s="55">
        <f>IF(OR(F25&gt;0,D25&gt;0,E25&gt;0),C25*F25+D25*G25+E25*H25,"")</f>
        <v/>
      </c>
      <c r="J25" s="31" t="n"/>
      <c r="K25" s="56">
        <f>IF(OR(F25&gt;0,G25&gt;0,H25&gt;0),I25-(J25/1000*($R$11/$S$11)+B25),"")</f>
        <v/>
      </c>
      <c r="L25" s="15" t="n"/>
      <c r="P25" s="59" t="n"/>
    </row>
    <row r="26" ht="15.75" customHeight="1" s="73">
      <c r="A26" s="27" t="n">
        <v>44951</v>
      </c>
      <c r="B26" s="41">
        <f>IF(J26&gt;0,J26/$P$5*$O$5, 0)</f>
        <v/>
      </c>
      <c r="C26" s="62" t="n"/>
      <c r="D26" s="18" t="n"/>
      <c r="E26" s="22" t="n"/>
      <c r="F26" s="33" t="n"/>
      <c r="G26" s="17" t="n"/>
      <c r="H26" s="63" t="n"/>
      <c r="I26" s="55">
        <f>IF(OR(F26&gt;0,D26&gt;0,E26&gt;0),C26*F26+D26*G26+E26*H26,"")</f>
        <v/>
      </c>
      <c r="J26" s="31" t="n"/>
      <c r="K26" s="56">
        <f>IF(OR(F26&gt;0,G26&gt;0,H26&gt;0),I26-(J26/1000*($R$11/$S$11)+B26),"")</f>
        <v/>
      </c>
      <c r="L26" s="15" t="n"/>
    </row>
    <row r="27" ht="15.75" customHeight="1" s="73">
      <c r="A27" s="27" t="n">
        <v>44952</v>
      </c>
      <c r="B27" s="41">
        <f>IF(J27&gt;0,J27/$P$5*$O$5, 0)</f>
        <v/>
      </c>
      <c r="C27" s="62" t="n"/>
      <c r="D27" s="18" t="n"/>
      <c r="E27" s="22" t="n"/>
      <c r="F27" s="33" t="n"/>
      <c r="G27" s="17" t="n"/>
      <c r="H27" s="63" t="n"/>
      <c r="I27" s="55">
        <f>IF(OR(F27&gt;0,D27&gt;0,E27&gt;0),C27*F27+D27*G27+E27*H27,"")</f>
        <v/>
      </c>
      <c r="J27" s="31" t="n"/>
      <c r="K27" s="56">
        <f>IF(OR(F27&gt;0,G27&gt;0,H27&gt;0),I27-(J27/1000*($R$11/$S$11)+B27),"")</f>
        <v/>
      </c>
      <c r="L27" s="15" t="n"/>
    </row>
    <row r="28" ht="15.75" customHeight="1" s="73">
      <c r="A28" s="27" t="n">
        <v>44953</v>
      </c>
      <c r="B28" s="41">
        <f>IF(J28&gt;0,J28/$P$5*$O$5, 0)</f>
        <v/>
      </c>
      <c r="C28" s="62" t="n"/>
      <c r="D28" s="18" t="n"/>
      <c r="E28" s="22" t="n"/>
      <c r="F28" s="33" t="n"/>
      <c r="G28" s="17" t="n"/>
      <c r="H28" s="63" t="n"/>
      <c r="I28" s="55">
        <f>IF(OR(F28&gt;0,D28&gt;0,E28&gt;0),C28*F28+D28*G28+E28*H28,"")</f>
        <v/>
      </c>
      <c r="J28" s="31" t="n"/>
      <c r="K28" s="56">
        <f>IF(OR(F28&gt;0,G28&gt;0,H28&gt;0),I28-(J28/1000*($R$11/$S$11)+B28),"")</f>
        <v/>
      </c>
      <c r="L28" s="48" t="n"/>
    </row>
    <row r="29" ht="15.75" customHeight="1" s="73">
      <c r="A29" s="27" t="n">
        <v>44954</v>
      </c>
      <c r="B29" s="41">
        <f>IF(J29&gt;0,J29/$P$5*$O$5, 0)</f>
        <v/>
      </c>
      <c r="C29" s="62" t="n">
        <v>0.01066</v>
      </c>
      <c r="D29" s="18" t="n">
        <v>0.158</v>
      </c>
      <c r="E29" s="22" t="n">
        <v>3.5</v>
      </c>
      <c r="F29" s="33" t="n">
        <v>3.7</v>
      </c>
      <c r="G29" s="17" t="n">
        <v>0.0277</v>
      </c>
      <c r="H29" s="63" t="n"/>
      <c r="I29" s="55">
        <f>IF(OR(F29&gt;0,D29&gt;0,E29&gt;0),C29*F29+D29*G29+E29*H29,"")</f>
        <v/>
      </c>
      <c r="J29" s="31" t="n">
        <v>1080</v>
      </c>
      <c r="K29" s="56">
        <f>IF(OR(F29&gt;0,G29&gt;0,H29&gt;0),I29-(J29/1000*($R$11/$S$11)+B29),"")</f>
        <v/>
      </c>
      <c r="L29" s="48" t="n"/>
    </row>
    <row r="30" ht="15.75" customHeight="1" s="73">
      <c r="A30" s="27" t="n">
        <v>44955</v>
      </c>
      <c r="B30" s="41">
        <f>IF(J30&gt;0,J30/$P$5*$O$5, 0)</f>
        <v/>
      </c>
      <c r="C30" s="62" t="n">
        <v>0.012359</v>
      </c>
      <c r="D30" s="18" t="n">
        <v>0</v>
      </c>
      <c r="E30" s="22" t="n">
        <v>3</v>
      </c>
      <c r="F30" s="33" t="n">
        <v>3.7</v>
      </c>
      <c r="G30" s="17" t="n">
        <v>0</v>
      </c>
      <c r="H30" s="63" t="n"/>
      <c r="I30" s="55">
        <f>IF(OR(F30&gt;0,D30&gt;0,E30&gt;0),C30*F30+D30*G30+E30*H30,"")</f>
        <v/>
      </c>
      <c r="J30" s="40" t="n">
        <v>1000</v>
      </c>
      <c r="K30" s="56">
        <f>IF(OR(F30&gt;0,G30&gt;0,H30&gt;0),I30-(J30/1000*($R$11/$S$11)+B30),"")</f>
        <v/>
      </c>
      <c r="L30" s="48" t="n"/>
    </row>
    <row r="31" ht="15.75" customHeight="1" s="73">
      <c r="A31" s="27" t="n">
        <v>44956</v>
      </c>
      <c r="B31" s="41">
        <f>IF(J31&gt;0,J31/$P$5*$O$5, 0)</f>
        <v/>
      </c>
      <c r="C31" s="62" t="n"/>
      <c r="D31" s="18" t="n"/>
      <c r="E31" s="22" t="n"/>
      <c r="F31" s="33" t="n"/>
      <c r="G31" s="17" t="n"/>
      <c r="H31" s="63" t="n"/>
      <c r="I31" s="55">
        <f>IF(OR(F31&gt;0,D31&gt;0,E31&gt;0),C31*F31+D31*G31+E31*H31,"")</f>
        <v/>
      </c>
      <c r="J31" s="31" t="n"/>
      <c r="K31" s="56">
        <f>IF(OR(F31&gt;0,G31&gt;0,H31&gt;0),I31-(J31/1000*($R$11/$S$11)+B31),"")</f>
        <v/>
      </c>
      <c r="L31" s="48" t="n"/>
    </row>
    <row r="32" ht="16.5" customHeight="1" s="73" thickBot="1">
      <c r="A32" s="49" t="n">
        <v>44957</v>
      </c>
      <c r="B32" s="41">
        <f>IF(J32&gt;0,J32/$P$5*$O$5, 0)</f>
        <v/>
      </c>
      <c r="C32" s="64" t="n"/>
      <c r="D32" s="42" t="n"/>
      <c r="E32" s="43" t="n"/>
      <c r="F32" s="44" t="n"/>
      <c r="G32" s="45" t="n"/>
      <c r="H32" s="65" t="n"/>
      <c r="I32" s="55">
        <f>IF(OR(F32&gt;0,D32&gt;0,E32&gt;0),C32*F32+D32*G32+E32*H32,"")</f>
        <v/>
      </c>
      <c r="J32" s="46" t="n"/>
      <c r="K32" s="56">
        <f>IF(OR(F32&gt;0,G32&gt;0,H32&gt;0),I32-(J32/1000*($R$11/$S$11)+B32),"")</f>
        <v/>
      </c>
      <c r="L32" s="47" t="n"/>
    </row>
  </sheetData>
  <mergeCells count="1">
    <mergeCell ref="T12:U1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zoomScale="85" zoomScaleNormal="85" workbookViewId="0">
      <selection activeCell="M12" sqref="M12"/>
    </sheetView>
  </sheetViews>
  <sheetFormatPr baseColWidth="8" defaultRowHeight="15"/>
  <cols>
    <col width="11.42578125" customWidth="1" style="73" min="1" max="1"/>
    <col width="12" customWidth="1" style="73" min="2" max="2"/>
    <col width="12.85546875" customWidth="1" style="73" min="3" max="3"/>
    <col width="12" customWidth="1" style="73" min="4" max="4"/>
    <col width="14.5703125" customWidth="1" style="73" min="5" max="7"/>
    <col width="15.85546875" customWidth="1" style="73" min="8" max="8"/>
    <col width="16" customWidth="1" style="73" min="9" max="9"/>
    <col width="14.140625" customWidth="1" style="73" min="10" max="10"/>
    <col width="12.5703125" customWidth="1" style="73" min="11" max="11"/>
    <col width="17.140625" customWidth="1" style="73" min="12" max="12"/>
    <col width="12.140625" customWidth="1" style="73" min="13" max="13"/>
    <col width="21" customWidth="1" style="73" min="14" max="14"/>
    <col width="11.85546875" customWidth="1" style="73" min="15" max="15"/>
    <col width="18.140625" customWidth="1" style="73" min="16" max="16"/>
    <col width="14.140625" customWidth="1" style="73" min="18" max="18"/>
    <col width="9.42578125" customWidth="1" style="73" min="19" max="19"/>
    <col width="11.28515625" customWidth="1" style="73" min="20" max="20"/>
    <col width="10.7109375" customWidth="1" style="73" min="21" max="21"/>
    <col width="11.140625" customWidth="1" style="73" min="22" max="22"/>
  </cols>
  <sheetData>
    <row r="1" ht="21.75" customHeight="1" s="73" thickBot="1">
      <c r="A1" s="34" t="inlineStr">
        <is>
          <t>Датта</t>
        </is>
      </c>
      <c r="B1" s="28" t="inlineStr">
        <is>
          <t>rave fee</t>
        </is>
      </c>
      <c r="C1" s="16" t="inlineStr">
        <is>
          <t>COIN 1</t>
        </is>
      </c>
      <c r="D1" s="16" t="inlineStr">
        <is>
          <t>COIN 2</t>
        </is>
      </c>
      <c r="E1" s="16" t="inlineStr">
        <is>
          <t>COIN 3</t>
        </is>
      </c>
      <c r="F1" s="11" t="inlineStr">
        <is>
          <t>Курс coin 1</t>
        </is>
      </c>
      <c r="G1" s="11" t="inlineStr">
        <is>
          <t>Курс coin 2</t>
        </is>
      </c>
      <c r="H1" s="11" t="inlineStr">
        <is>
          <t>Курс coin 3</t>
        </is>
      </c>
      <c r="I1" s="12" t="inlineStr">
        <is>
          <t>Выручка</t>
        </is>
      </c>
      <c r="J1" s="16" t="inlineStr">
        <is>
          <t>Потребление</t>
        </is>
      </c>
      <c r="K1" s="13" t="inlineStr">
        <is>
          <t>Чистыми</t>
        </is>
      </c>
      <c r="L1" s="14" t="inlineStr">
        <is>
          <t>Примечание</t>
        </is>
      </c>
    </row>
    <row r="2" ht="15.75" customHeight="1" s="73">
      <c r="A2" s="52" t="n">
        <v>44958</v>
      </c>
      <c r="B2" s="41">
        <f>IF(J2&gt;0,J2/$P$5*$O$5, 0)</f>
        <v/>
      </c>
      <c r="C2" s="66" t="n"/>
      <c r="D2" s="39" t="n"/>
      <c r="E2" s="23" t="n"/>
      <c r="F2" s="38" t="n"/>
      <c r="G2" s="24" t="n"/>
      <c r="H2" s="67" t="n"/>
      <c r="I2" s="55">
        <f>IF(OR(F2&gt;0,D2&gt;0,E2&gt;0),C2*F2+D2*G2+E2*H2,"")</f>
        <v/>
      </c>
      <c r="J2" s="30" t="n"/>
      <c r="K2" s="56">
        <f>IF(OR(F2&gt;0,G2&gt;0,H2&gt;0),I2-(J2/1000*($R$11/$S$11)+B2),"")</f>
        <v/>
      </c>
      <c r="L2" s="25" t="n"/>
    </row>
    <row r="3" ht="15.75" customHeight="1" s="73">
      <c r="A3" s="52" t="n">
        <v>44959</v>
      </c>
      <c r="B3" s="41">
        <f>IF(J3&gt;0,J3/$P$5*$O$5, 0)</f>
        <v/>
      </c>
      <c r="C3" s="62" t="n"/>
      <c r="D3" s="18" t="n"/>
      <c r="E3" s="22" t="n"/>
      <c r="F3" s="33" t="n"/>
      <c r="G3" s="17" t="n"/>
      <c r="H3" s="63" t="n"/>
      <c r="I3" s="55">
        <f>IF(OR(F3&gt;0,D3&gt;0,E3&gt;0),C3*F3+D3*G3+E3*H3,"")</f>
        <v/>
      </c>
      <c r="J3" s="31" t="n"/>
      <c r="K3" s="56">
        <f>IF(OR(F3&gt;0,G3&gt;0,H3&gt;0),I3-(J3/1000*($R$11/$S$11)+B3),"")</f>
        <v/>
      </c>
      <c r="L3" s="15" t="n"/>
    </row>
    <row r="4" ht="18.75" customHeight="1" s="73">
      <c r="A4" s="52" t="n">
        <v>44960</v>
      </c>
      <c r="B4" s="41">
        <f>IF(J4&gt;0,J4/$P$5*$O$5, 0)</f>
        <v/>
      </c>
      <c r="C4" s="62" t="n"/>
      <c r="D4" s="18" t="n"/>
      <c r="E4" s="22" t="n"/>
      <c r="F4" s="33" t="n"/>
      <c r="G4" s="17" t="n"/>
      <c r="H4" s="63" t="n"/>
      <c r="I4" s="55">
        <f>IF(OR(F4&gt;0,D4&gt;0,E4&gt;0),C4*F4+D4*G4+E4*H4,"")</f>
        <v/>
      </c>
      <c r="J4" s="31" t="n"/>
      <c r="K4" s="56">
        <f>IF(OR(F4&gt;0,G4&gt;0,H4&gt;0),I4-(J4/1000*($R$11/$S$11)+B4),"")</f>
        <v/>
      </c>
      <c r="L4" s="15" t="n"/>
      <c r="O4" t="inlineStr">
        <is>
          <t>rave fee</t>
        </is>
      </c>
      <c r="P4" t="inlineStr">
        <is>
          <t>макс. Потребление</t>
        </is>
      </c>
      <c r="R4" s="1" t="n"/>
      <c r="S4" s="5" t="inlineStr">
        <is>
          <t>В общем</t>
        </is>
      </c>
      <c r="T4" s="5" t="inlineStr">
        <is>
          <t>Максимум</t>
        </is>
      </c>
      <c r="U4" s="5" t="inlineStr">
        <is>
          <t>Минимум</t>
        </is>
      </c>
      <c r="V4" s="5" t="inlineStr">
        <is>
          <t>В среднем</t>
        </is>
      </c>
    </row>
    <row r="5" ht="15.75" customHeight="1" s="73">
      <c r="A5" s="52" t="n">
        <v>44961</v>
      </c>
      <c r="B5" s="41">
        <f>IF(J5&gt;0,J5/$P$5*$O$5, 0)</f>
        <v/>
      </c>
      <c r="C5" s="62" t="n"/>
      <c r="D5" s="18" t="n"/>
      <c r="E5" s="22" t="n"/>
      <c r="F5" s="33" t="n"/>
      <c r="G5" s="17" t="n"/>
      <c r="H5" s="63" t="n"/>
      <c r="I5" s="55">
        <f>IF(OR(F5&gt;0,D5&gt;0,E5&gt;0),C5*F5+D5*G5+E5*H5,"")</f>
        <v/>
      </c>
      <c r="J5" s="31" t="n"/>
      <c r="K5" s="56">
        <f>IF(OR(F5&gt;0,G5&gt;0,H5&gt;0),I5-(J5/1000*($R$11/$S$11)+B5),"")</f>
        <v/>
      </c>
      <c r="L5" s="15" t="n"/>
      <c r="O5" t="n">
        <v>0.1</v>
      </c>
      <c r="P5" t="n">
        <v>12000</v>
      </c>
      <c r="R5" s="4" t="inlineStr">
        <is>
          <t>Выручка</t>
        </is>
      </c>
      <c r="S5" s="57">
        <f>SUM(K5:K33)</f>
        <v/>
      </c>
      <c r="T5" s="57">
        <f>MAX(K5:K33)</f>
        <v/>
      </c>
      <c r="U5" s="57">
        <f>MIN(K5:K33)</f>
        <v/>
      </c>
      <c r="V5" s="7">
        <f>AVERAGEIF(K5:K33,"&gt;0")</f>
        <v/>
      </c>
    </row>
    <row r="6" ht="15.75" customHeight="1" s="73">
      <c r="A6" s="52" t="n">
        <v>44962</v>
      </c>
      <c r="B6" s="41">
        <f>IF(J6&gt;0,J6/$P$5*$O$5, 0)</f>
        <v/>
      </c>
      <c r="C6" s="62" t="n"/>
      <c r="D6" s="18" t="n"/>
      <c r="E6" s="22" t="n"/>
      <c r="F6" s="33" t="n"/>
      <c r="G6" s="17" t="n"/>
      <c r="H6" s="63" t="n"/>
      <c r="I6" s="55">
        <f>IF(OR(F6&gt;0,D6&gt;0,E6&gt;0),C6*F6+D6*G6+E6*H6,"")</f>
        <v/>
      </c>
      <c r="J6" s="31" t="n"/>
      <c r="K6" s="56">
        <f>IF(OR(F6&gt;0,G6&gt;0,H6&gt;0),I6-(J6/1000*($R$11/$S$11)+B6),"")</f>
        <v/>
      </c>
      <c r="L6" s="15" t="n"/>
      <c r="R6" s="3" t="inlineStr">
        <is>
          <t>Чистыми</t>
        </is>
      </c>
      <c r="S6" s="58">
        <f>SUM(M5:M33)</f>
        <v/>
      </c>
      <c r="T6" s="58">
        <f>MAX(M5:M33)</f>
        <v/>
      </c>
      <c r="U6" s="58">
        <f>MIN(M5:M33)</f>
        <v/>
      </c>
      <c r="V6" s="8">
        <f>AVERAGEIF(M5:M33,"&gt;0")</f>
        <v/>
      </c>
    </row>
    <row r="7" ht="15.75" customHeight="1" s="73">
      <c r="A7" s="52" t="n">
        <v>44963</v>
      </c>
      <c r="B7" s="41">
        <f>IF(J7&gt;0,J7/$P$5*$O$5, 0)</f>
        <v/>
      </c>
      <c r="C7" s="62" t="n"/>
      <c r="D7" s="18" t="n"/>
      <c r="E7" s="22" t="n"/>
      <c r="F7" s="33" t="n"/>
      <c r="G7" s="17" t="n"/>
      <c r="H7" s="63" t="n"/>
      <c r="I7" s="55">
        <f>IF(OR(F7&gt;0,D7&gt;0,E7&gt;0),C7*F7+D7*G7+E7*H7,"")</f>
        <v/>
      </c>
      <c r="J7" s="31" t="n"/>
      <c r="K7" s="56">
        <f>IF(OR(F7&gt;0,G7&gt;0,H7&gt;0),I7-(J7/1000*($R$11/$S$11)+B7),"")</f>
        <v/>
      </c>
      <c r="L7" s="15" t="n"/>
      <c r="R7" s="2" t="inlineStr">
        <is>
          <t>Хешрейт</t>
        </is>
      </c>
      <c r="S7" s="6" t="inlineStr">
        <is>
          <t>-</t>
        </is>
      </c>
      <c r="T7" s="2">
        <f>MAX(#REF!)</f>
        <v/>
      </c>
      <c r="U7" s="2">
        <f>MIN(#REF!)</f>
        <v/>
      </c>
      <c r="V7" s="2">
        <f>AVERAGEIF(#REF!, "&gt;0")</f>
        <v/>
      </c>
    </row>
    <row r="8" ht="15.75" customHeight="1" s="73">
      <c r="A8" s="52" t="n">
        <v>44964</v>
      </c>
      <c r="B8" s="41">
        <f>IF(J8&gt;0,J8/$P$5*$O$5, 0)</f>
        <v/>
      </c>
      <c r="C8" s="62" t="n"/>
      <c r="D8" s="18" t="n"/>
      <c r="E8" s="22" t="n"/>
      <c r="F8" s="33" t="n"/>
      <c r="G8" s="17" t="n"/>
      <c r="H8" s="63" t="n"/>
      <c r="I8" s="55">
        <f>IF(OR(F8&gt;0,D8&gt;0,E8&gt;0),C8*F8+D8*G8+E8*H8,"")</f>
        <v/>
      </c>
      <c r="J8" s="31" t="n"/>
      <c r="K8" s="56">
        <f>IF(OR(F8&gt;0,G8&gt;0,H8&gt;0),I8-(J8/1000*($R$11/$S$11)+B8),"")</f>
        <v/>
      </c>
      <c r="L8" s="15" t="n"/>
      <c r="P8" s="59" t="n"/>
    </row>
    <row r="9" ht="15.75" customHeight="1" s="73">
      <c r="A9" s="52" t="n">
        <v>44965</v>
      </c>
      <c r="B9" s="41">
        <f>IF(J9&gt;0,J9/$P$5*$O$5, 0)</f>
        <v/>
      </c>
      <c r="C9" s="62" t="n"/>
      <c r="D9" s="18" t="n"/>
      <c r="E9" s="22" t="n"/>
      <c r="F9" s="33" t="n"/>
      <c r="G9" s="17" t="n"/>
      <c r="H9" s="63" t="n"/>
      <c r="I9" s="55">
        <f>IF(OR(F9&gt;0,D9&gt;0,E9&gt;0),C9*F9+D9*G9+E9*H9,"")</f>
        <v/>
      </c>
      <c r="J9" s="31" t="n"/>
      <c r="K9" s="56">
        <f>IF(OR(F9&gt;0,G9&gt;0,H9&gt;0),I9-(J9/1000*($R$11/$S$11)+B9),"")</f>
        <v/>
      </c>
      <c r="L9" s="15" t="n"/>
      <c r="O9" s="37" t="n"/>
      <c r="P9" s="59" t="n"/>
    </row>
    <row r="10" ht="15.75" customHeight="1" s="73">
      <c r="A10" s="52" t="n">
        <v>44966</v>
      </c>
      <c r="B10" s="41">
        <f>IF(J10&gt;0,J10/$P$5*$O$5, 0)</f>
        <v/>
      </c>
      <c r="C10" s="62" t="inlineStr">
        <is>
          <t>0,011803</t>
        </is>
      </c>
      <c r="D10" s="18" t="inlineStr">
        <is>
          <t>0,5321</t>
        </is>
      </c>
      <c r="E10" s="22" t="n">
        <v>6.654818868611112</v>
      </c>
      <c r="F10" s="33" t="n">
        <v>3.99</v>
      </c>
      <c r="G10" s="17" t="n">
        <v>0.032</v>
      </c>
      <c r="H10" s="63" t="n"/>
      <c r="I10" s="55">
        <f>IF(OR(F10&gt;0,D10&gt;0,E10&gt;0),C10*F10+D10*G10+E10*H10,"")</f>
        <v/>
      </c>
      <c r="J10" s="31" t="n">
        <v>1930</v>
      </c>
      <c r="K10" s="56">
        <f>IF(OR(F10&gt;0,G10&gt;0,H10&gt;0),I10-(J10/1000*($R$11/$S$11)+B10),"")</f>
        <v/>
      </c>
      <c r="L10" s="15" t="n"/>
      <c r="P10" s="60" t="n"/>
      <c r="Q10" s="19" t="n"/>
      <c r="R10" s="29" t="inlineStr">
        <is>
          <t>cost energy UAH</t>
        </is>
      </c>
      <c r="S10" s="29" t="inlineStr">
        <is>
          <t>USDT/UAH</t>
        </is>
      </c>
    </row>
    <row r="11" ht="15.75" customHeight="1" s="73">
      <c r="A11" s="52" t="n">
        <v>44967</v>
      </c>
      <c r="B11" s="41">
        <f>IF(J11&gt;0,J11/$P$5*$O$5, 0)</f>
        <v/>
      </c>
      <c r="C11" s="62" t="inlineStr">
        <is>
          <t>0,009383</t>
        </is>
      </c>
      <c r="D11" s="18" t="inlineStr">
        <is>
          <t>0,2917</t>
        </is>
      </c>
      <c r="E11" s="22" t="n">
        <v>1.633350417361111</v>
      </c>
      <c r="F11" s="33" t="n">
        <v>4.15</v>
      </c>
      <c r="G11" s="17" t="n">
        <v>0.032</v>
      </c>
      <c r="H11" s="63" t="n"/>
      <c r="I11" s="55">
        <f>IF(OR(F11&gt;0,D11&gt;0,E11&gt;0),C11*F11+D11*G11+E11*H11,"")</f>
        <v/>
      </c>
      <c r="J11" s="31" t="n">
        <v>470</v>
      </c>
      <c r="K11" s="56">
        <f>IF(OR(F11&gt;0,G11&gt;0,H11&gt;0),I11-(J11/1000*($R$11/$S$11)+B11),"")</f>
        <v/>
      </c>
      <c r="L11" s="15" t="n"/>
      <c r="N11" s="37" t="n"/>
      <c r="P11" s="37" t="n"/>
      <c r="Q11" s="19" t="n"/>
      <c r="R11" t="n">
        <v>1.71</v>
      </c>
      <c r="S11" t="n">
        <v>39.4</v>
      </c>
    </row>
    <row r="12" ht="15.75" customHeight="1" s="73">
      <c r="A12" s="52" t="n">
        <v>44968</v>
      </c>
      <c r="B12" s="41">
        <f>IF(J12&gt;0,J12/$P$5*$O$5, 0)</f>
        <v/>
      </c>
      <c r="C12" s="62" t="n"/>
      <c r="D12" s="18" t="n"/>
      <c r="E12" s="22" t="n"/>
      <c r="F12" s="33" t="n"/>
      <c r="G12" s="17" t="n"/>
      <c r="H12" s="63" t="n"/>
      <c r="I12" s="55">
        <f>IF(OR(F12&gt;0,D12&gt;0,E12&gt;0),C12*F12+D12*G12+E12*H12,"")</f>
        <v/>
      </c>
      <c r="J12" s="31" t="n"/>
      <c r="K12" s="56">
        <f>IF(OR(F12&gt;0,G12&gt;0,H12&gt;0),I12-(J12/1000*($R$11/$S$11)+B12),"")</f>
        <v/>
      </c>
      <c r="L12" s="15" t="n"/>
      <c r="N12" s="60" t="n"/>
      <c r="P12" s="59" t="n"/>
      <c r="Q12" s="19" t="n"/>
      <c r="R12" s="59" t="n"/>
      <c r="T12" s="72" t="n"/>
      <c r="V12" s="21" t="n"/>
    </row>
    <row r="13" ht="15.75" customHeight="1" s="73">
      <c r="A13" s="52" t="n">
        <v>44969</v>
      </c>
      <c r="B13" s="41">
        <f>IF(J13&gt;0,J13/$P$5*$O$5, 0)</f>
        <v/>
      </c>
      <c r="C13" s="62" t="inlineStr">
        <is>
          <t>0,015231</t>
        </is>
      </c>
      <c r="D13" s="18" t="inlineStr">
        <is>
          <t>0,9114</t>
        </is>
      </c>
      <c r="E13" s="22" t="n">
        <v>7.790936946527778</v>
      </c>
      <c r="F13" s="33" t="n">
        <v>4.15</v>
      </c>
      <c r="G13" s="17" t="n">
        <v>0.032</v>
      </c>
      <c r="H13" s="63" t="n"/>
      <c r="I13" s="55">
        <f>IF(OR(F13&gt;0,D13&gt;0,E13&gt;0),C13*F13+D13*G13+E13*H13,"")</f>
        <v/>
      </c>
      <c r="J13" s="31" t="n">
        <v>2260</v>
      </c>
      <c r="K13" s="56">
        <f>IF(OR(F13&gt;0,G13&gt;0,H13&gt;0),I13-(J13/1000*($R$11/$S$11)+B13),"")</f>
        <v/>
      </c>
      <c r="L13" s="15" t="n"/>
      <c r="P13" s="61" t="n"/>
      <c r="Q13" s="19" t="n"/>
      <c r="R13" s="59" t="n"/>
    </row>
    <row r="14" ht="15.75" customHeight="1" s="73">
      <c r="A14" s="52" t="n">
        <v>44970</v>
      </c>
      <c r="B14" s="41">
        <f>IF(J14&gt;0,J14/$P$5*$O$5, 0)</f>
        <v/>
      </c>
      <c r="C14" s="62" t="inlineStr">
        <is>
          <t>0,040205</t>
        </is>
      </c>
      <c r="D14" s="18" t="inlineStr">
        <is>
          <t>1,9094</t>
        </is>
      </c>
      <c r="E14" s="22" t="n">
        <v>15.93456194777778</v>
      </c>
      <c r="F14" s="33" t="n">
        <v>3.99</v>
      </c>
      <c r="G14" s="17" t="n">
        <v>0.032</v>
      </c>
      <c r="H14" s="63" t="n"/>
      <c r="I14" s="55">
        <f>IF(OR(F14&gt;0,D14&gt;0,E14&gt;0),C14*F14+D14*G14+E14*H14,"")</f>
        <v/>
      </c>
      <c r="J14" s="31" t="n">
        <v>4630</v>
      </c>
      <c r="K14" s="56">
        <f>IF(OR(F14&gt;0,G14&gt;0,H14&gt;0),I14-(J14/1000*($R$11/$S$11)+B14),"")</f>
        <v/>
      </c>
      <c r="L14" s="15" t="n"/>
      <c r="Q14" s="19" t="n"/>
      <c r="R14" s="59" t="n"/>
    </row>
    <row r="15" ht="15.75" customHeight="1" s="73">
      <c r="A15" s="52" t="n">
        <v>44971</v>
      </c>
      <c r="B15" s="41">
        <f>IF(J15&gt;0,J15/$P$5*$O$5, 0)</f>
        <v/>
      </c>
      <c r="C15" s="62" t="inlineStr">
        <is>
          <t>0,044303</t>
        </is>
      </c>
      <c r="D15" s="18" t="inlineStr">
        <is>
          <t>2,5501</t>
        </is>
      </c>
      <c r="E15" s="22" t="n">
        <v>17.05911648291667</v>
      </c>
      <c r="F15" s="33" t="n">
        <v>4.15</v>
      </c>
      <c r="G15" s="17" t="n"/>
      <c r="H15" s="63" t="n"/>
      <c r="I15" s="55">
        <f>IF(OR(F15&gt;0,D15&gt;0,E15&gt;0),C15*F15+D15*G15+E15*H15,"")</f>
        <v/>
      </c>
      <c r="J15" s="31" t="n">
        <v>4960</v>
      </c>
      <c r="K15" s="56">
        <f>IF(OR(F15&gt;0,G15&gt;0,H15&gt;0),I15-(J15/1000*($R$11/$S$11)+B15),"")</f>
        <v/>
      </c>
      <c r="L15" s="15" t="n"/>
      <c r="P15" s="59" t="n"/>
    </row>
    <row r="16" ht="17.25" customHeight="1" s="73">
      <c r="A16" s="52" t="n">
        <v>44972</v>
      </c>
      <c r="B16" s="41">
        <f>IF(J16&gt;0,J16/$P$5*$O$5, 0)</f>
        <v/>
      </c>
      <c r="C16" s="62" t="inlineStr">
        <is>
          <t>0,077959</t>
        </is>
      </c>
      <c r="D16" s="18" t="inlineStr">
        <is>
          <t>3,9337</t>
        </is>
      </c>
      <c r="E16" s="22" t="n">
        <v>28.34513423402778</v>
      </c>
      <c r="F16" s="33" t="n"/>
      <c r="G16" s="17" t="n">
        <v>0.0336</v>
      </c>
      <c r="H16" s="63" t="n"/>
      <c r="I16" s="55">
        <f>IF(OR(F16&gt;0,D16&gt;0,E16&gt;0),C16*F16+D16*G16+E16*H16,"")</f>
        <v/>
      </c>
      <c r="J16" s="31" t="n">
        <v>8240</v>
      </c>
      <c r="K16" s="56">
        <f>IF(OR(F16&gt;0,G16&gt;0,H16&gt;0),I16-(J16/1000*($R$11/$S$11)+B16),"")</f>
        <v/>
      </c>
      <c r="L16" s="15" t="n"/>
      <c r="M16" s="37" t="n"/>
    </row>
    <row r="17" ht="15.75" customHeight="1" s="73">
      <c r="A17" s="52" t="n">
        <v>44973</v>
      </c>
      <c r="B17" s="41">
        <f>IF(J17&gt;0,J17/$P$5*$O$5, 0)</f>
        <v/>
      </c>
      <c r="C17" s="62" t="inlineStr">
        <is>
          <t>0,091954</t>
        </is>
      </c>
      <c r="D17" s="18" t="inlineStr">
        <is>
          <t>5,2066</t>
        </is>
      </c>
      <c r="E17" s="22" t="n">
        <v>35.38692828958333</v>
      </c>
      <c r="F17" s="33" t="n"/>
      <c r="G17" s="17" t="n">
        <v>0.0343</v>
      </c>
      <c r="H17" s="63" t="n"/>
      <c r="I17" s="55">
        <f>IF(OR(F17&gt;0,D17&gt;0,E17&gt;0),C17*F17+D17*G17+E17*H17,"")</f>
        <v/>
      </c>
      <c r="J17" s="31" t="n">
        <v>10270</v>
      </c>
      <c r="K17" s="56">
        <f>IF(OR(F17&gt;0,G17&gt;0,H17&gt;0),I17-(J17/1000*($R$11/$S$11)+B17),"")</f>
        <v/>
      </c>
      <c r="L17" s="15" t="n"/>
    </row>
    <row r="18" ht="15.75" customHeight="1" s="73">
      <c r="A18" s="52" t="n">
        <v>44974</v>
      </c>
      <c r="B18" s="41">
        <f>IF(J18&gt;0,J18/$P$5*$O$5, 0)</f>
        <v/>
      </c>
      <c r="C18" s="62" t="inlineStr">
        <is>
          <t>0,107400</t>
        </is>
      </c>
      <c r="D18" s="18" t="inlineStr">
        <is>
          <t>5,4046</t>
        </is>
      </c>
      <c r="E18" s="22" t="n">
        <v>42.15464747229167</v>
      </c>
      <c r="F18" s="33" t="n"/>
      <c r="G18" s="17" t="n"/>
      <c r="H18" s="63" t="n"/>
      <c r="I18" s="55">
        <f>IF(OR(F18&gt;0,D18&gt;0,E18&gt;0),C18*F18+D18*G18+E18*H18,"")</f>
        <v/>
      </c>
      <c r="J18" s="31" t="n">
        <v>12190</v>
      </c>
      <c r="K18" s="56">
        <f>IF(OR(F18&gt;0,G18&gt;0,H18&gt;0),I18-(J18/1000*($R$11/$S$11)+B18),"")</f>
        <v/>
      </c>
      <c r="L18" s="15" t="n"/>
    </row>
    <row r="19" ht="15.75" customHeight="1" s="73">
      <c r="A19" s="52" t="n">
        <v>44975</v>
      </c>
      <c r="B19" s="41">
        <f>IF(J19&gt;0,J19/$P$5*$O$5, 0)</f>
        <v/>
      </c>
      <c r="C19" s="62" t="inlineStr">
        <is>
          <t>0,116367</t>
        </is>
      </c>
      <c r="D19" s="18" t="inlineStr">
        <is>
          <t>5,2127</t>
        </is>
      </c>
      <c r="E19" s="22" t="n">
        <v>42.88128225694444</v>
      </c>
      <c r="F19" s="33" t="n"/>
      <c r="G19" s="17" t="n"/>
      <c r="H19" s="63" t="n"/>
      <c r="I19" s="55">
        <f>IF(OR(F19&gt;0,D19&gt;0,E19&gt;0),C19*F19+D19*G19+E19*H19,"")</f>
        <v/>
      </c>
      <c r="J19" s="31" t="n">
        <v>12500</v>
      </c>
      <c r="K19" s="56">
        <f>IF(OR(F19&gt;0,G19&gt;0,H19&gt;0),I19-(J19/1000*($R$11/$S$11)+B19),"")</f>
        <v/>
      </c>
      <c r="L19" s="32" t="n"/>
    </row>
    <row r="20" ht="15.75" customHeight="1" s="73">
      <c r="A20" s="52" t="n">
        <v>44976</v>
      </c>
      <c r="B20" s="41">
        <f>IF(J20&gt;0,J20/$P$5*$O$5, 0)</f>
        <v/>
      </c>
      <c r="C20" s="62" t="inlineStr">
        <is>
          <t>0,114086</t>
        </is>
      </c>
      <c r="D20" s="18" t="inlineStr">
        <is>
          <t>5,4628</t>
        </is>
      </c>
      <c r="E20" s="22" t="n">
        <v>38.969356205</v>
      </c>
      <c r="F20" s="33" t="n"/>
      <c r="G20" s="17" t="n"/>
      <c r="H20" s="63" t="n"/>
      <c r="I20" s="55">
        <f>IF(OR(F20&gt;0,D20&gt;0,E20&gt;0),C20*F20+D20*G20+E20*H20,"")</f>
        <v/>
      </c>
      <c r="J20" s="31" t="n">
        <v>11360</v>
      </c>
      <c r="K20" s="56">
        <f>IF(OR(F20&gt;0,G20&gt;0,H20&gt;0),I20-(J20/1000*($R$11/$S$11)+B20),"")</f>
        <v/>
      </c>
      <c r="L20" s="15" t="n"/>
      <c r="P20" s="59" t="n"/>
    </row>
    <row r="21" ht="15.75" customHeight="1" s="73">
      <c r="A21" s="52" t="n">
        <v>44977</v>
      </c>
      <c r="B21" s="41">
        <f>IF(J21&gt;0,J21/$P$5*$O$5, 0)</f>
        <v/>
      </c>
      <c r="C21" s="62" t="inlineStr">
        <is>
          <t>0,120308</t>
        </is>
      </c>
      <c r="D21" s="18" t="inlineStr">
        <is>
          <t>6,0764</t>
        </is>
      </c>
      <c r="E21" s="22" t="n">
        <v>40.37</v>
      </c>
      <c r="F21" s="33" t="n"/>
      <c r="G21" s="17" t="n"/>
      <c r="H21" s="63" t="n"/>
      <c r="I21" s="55">
        <f>IF(OR(F21&gt;0,D21&gt;0,E21&gt;0),C21*F21+D21*G21+E21*H21,"")</f>
        <v/>
      </c>
      <c r="J21" s="31" t="n">
        <v>11500</v>
      </c>
      <c r="K21" s="56">
        <f>IF(OR(F21&gt;0,G21&gt;0,H21&gt;0),I21-(J21/1000*($R$11/$S$11)+B21),"")</f>
        <v/>
      </c>
      <c r="L21" s="15" t="n"/>
    </row>
    <row r="22" ht="15.75" customHeight="1" s="73">
      <c r="A22" s="52" t="n">
        <v>44978</v>
      </c>
      <c r="B22" s="41">
        <f>IF(J22&gt;0,J22/$P$5*$O$5, 0)</f>
        <v/>
      </c>
      <c r="C22" s="62" t="inlineStr">
        <is>
          <t>0,064965</t>
        </is>
      </c>
      <c r="D22" s="18" t="inlineStr">
        <is>
          <t>3,3224</t>
        </is>
      </c>
      <c r="E22" s="22" t="n">
        <v>20.54</v>
      </c>
      <c r="F22" s="33" t="n"/>
      <c r="G22" s="17" t="n"/>
      <c r="H22" s="63" t="n"/>
      <c r="I22" s="55">
        <f>IF(OR(F22&gt;0,D22&gt;0,E22&gt;0),C22*F22+D22*G22+E22*H22,"")</f>
        <v/>
      </c>
      <c r="J22" s="31" t="n">
        <v>5850</v>
      </c>
      <c r="K22" s="56" t="n"/>
      <c r="L22" s="15" t="n"/>
      <c r="P22" s="59" t="n"/>
    </row>
    <row r="23" ht="15.75" customHeight="1" s="73">
      <c r="A23" s="52" t="n">
        <v>44979</v>
      </c>
      <c r="B23" s="41">
        <f>IF(J23&gt;0,J23/$P$5*$O$5, 0)</f>
        <v/>
      </c>
      <c r="C23" s="62" t="inlineStr">
        <is>
          <t>0,072639</t>
        </is>
      </c>
      <c r="D23" s="18" t="inlineStr">
        <is>
          <t>3,4469</t>
        </is>
      </c>
      <c r="E23" s="22" t="n">
        <v>27.32</v>
      </c>
      <c r="F23" s="33" t="n"/>
      <c r="G23" s="17" t="n"/>
      <c r="H23" s="63" t="n"/>
      <c r="I23" s="55">
        <f>IF(OR(F23&gt;0,D23&gt;0,E23&gt;0),C23*F23+D23*G23+E23*H23,"")</f>
        <v/>
      </c>
      <c r="J23" s="31" t="n">
        <v>7780</v>
      </c>
      <c r="K23" s="56" t="n"/>
      <c r="L23" s="15" t="n"/>
    </row>
    <row r="24" ht="15.75" customHeight="1" s="73">
      <c r="A24" s="52" t="n">
        <v>44980</v>
      </c>
      <c r="B24" s="41">
        <f>IF(J24&gt;0,J24/$P$5*$O$5, 0)</f>
        <v/>
      </c>
      <c r="C24" s="62" t="inlineStr">
        <is>
          <t>0,109409</t>
        </is>
      </c>
      <c r="D24" s="18" t="inlineStr">
        <is>
          <t>5,8208</t>
        </is>
      </c>
      <c r="E24" s="22" t="n">
        <v>39.66</v>
      </c>
      <c r="F24" s="33" t="n"/>
      <c r="G24" s="17" t="n"/>
      <c r="H24" s="63" t="n"/>
      <c r="I24" s="55">
        <f>IF(OR(F24&gt;0,D24&gt;0,E24&gt;0),C24*F24+D24*G24+E24*H24,"")</f>
        <v/>
      </c>
      <c r="J24" s="31" t="n">
        <v>11310</v>
      </c>
      <c r="K24" s="56">
        <f>IF(OR(F24&gt;0,G24&gt;0,H24&gt;0),I24-(J24/1000*($R$11/$S$11)+B24),"")</f>
        <v/>
      </c>
      <c r="L24" s="15" t="n"/>
    </row>
    <row r="25" ht="15.75" customHeight="1" s="73">
      <c r="A25" s="52" t="n">
        <v>44981</v>
      </c>
      <c r="B25" s="41">
        <f>IF(J25&gt;0,J25/$P$5*$O$5, 0)</f>
        <v/>
      </c>
      <c r="C25" s="62" t="n"/>
      <c r="D25" s="18" t="n"/>
      <c r="E25" s="22" t="n"/>
      <c r="F25" s="33" t="n"/>
      <c r="G25" s="17" t="n"/>
      <c r="H25" s="63" t="n"/>
      <c r="I25" s="55">
        <f>IF(OR(F25&gt;0,D25&gt;0,E25&gt;0),C25*F25+D25*G25+E25*H25,"")</f>
        <v/>
      </c>
      <c r="J25" s="31" t="n"/>
      <c r="K25" s="56">
        <f>IF(OR(F25&gt;0,G25&gt;0,H25&gt;0),I25-(J25/1000*($R$11/$S$11)+B25),"")</f>
        <v/>
      </c>
      <c r="L25" s="15" t="n"/>
      <c r="P25" s="59" t="n"/>
    </row>
    <row r="26" ht="15.75" customHeight="1" s="73">
      <c r="A26" s="52" t="n">
        <v>44982</v>
      </c>
      <c r="B26" s="41">
        <f>IF(J26&gt;0,J26/$P$5*$O$5, 0)</f>
        <v/>
      </c>
      <c r="C26" s="62" t="n"/>
      <c r="D26" s="18" t="n"/>
      <c r="E26" s="22" t="n"/>
      <c r="F26" s="33" t="n"/>
      <c r="G26" s="17" t="n"/>
      <c r="H26" s="63" t="n"/>
      <c r="I26" s="55">
        <f>IF(OR(F26&gt;0,D26&gt;0,E26&gt;0),C26*F26+D26*G26+E26*H26,"")</f>
        <v/>
      </c>
      <c r="J26" s="31" t="n"/>
      <c r="K26" s="56">
        <f>IF(OR(F26&gt;0,G26&gt;0,H26&gt;0),I26-(J26/1000*($R$11/$S$11)+B26),"")</f>
        <v/>
      </c>
      <c r="L26" s="15" t="n"/>
    </row>
    <row r="27" ht="15.75" customHeight="1" s="73">
      <c r="A27" s="52" t="n">
        <v>44983</v>
      </c>
      <c r="B27" s="41">
        <f>IF(J27&gt;0,J27/$P$5*$O$5, 0)</f>
        <v/>
      </c>
      <c r="C27" s="62" t="n"/>
      <c r="D27" s="18" t="n"/>
      <c r="E27" s="22" t="n"/>
      <c r="F27" s="33" t="n"/>
      <c r="G27" s="17" t="n"/>
      <c r="H27" s="63" t="n"/>
      <c r="I27" s="55">
        <f>IF(OR(F27&gt;0,D27&gt;0,E27&gt;0),C27*F27+D27*G27+E27*H27,"")</f>
        <v/>
      </c>
      <c r="J27" s="31" t="n"/>
      <c r="K27" s="56">
        <f>IF(OR(F27&gt;0,G27&gt;0,H27&gt;0),I27-(J27/1000*($R$11/$S$11)+B27),"")</f>
        <v/>
      </c>
      <c r="L27" s="15" t="n"/>
    </row>
    <row r="28" ht="15.75" customHeight="1" s="73">
      <c r="A28" s="52" t="n">
        <v>44984</v>
      </c>
      <c r="B28" s="41">
        <f>IF(J28&gt;0,J28/$P$5*$O$5, 0)</f>
        <v/>
      </c>
      <c r="C28" s="62" t="n"/>
      <c r="D28" s="18" t="n"/>
      <c r="E28" s="22" t="n"/>
      <c r="F28" s="33" t="n"/>
      <c r="G28" s="17" t="n"/>
      <c r="H28" s="63" t="n"/>
      <c r="I28" s="55">
        <f>IF(OR(F28&gt;0,D28&gt;0,E28&gt;0),C28*F28+D28*G28+E28*H28,"")</f>
        <v/>
      </c>
      <c r="J28" s="31" t="n"/>
      <c r="K28" s="56">
        <f>IF(OR(F28&gt;0,G28&gt;0,H28&gt;0),I28-(J28/1000*($R$11/$S$11)+B28),"")</f>
        <v/>
      </c>
      <c r="L28" s="15" t="n"/>
    </row>
    <row r="29" ht="15.75" customHeight="1" s="73">
      <c r="A29" s="52" t="n">
        <v>44985</v>
      </c>
      <c r="B29" s="41">
        <f>IF(J29&gt;0,J29/$P$5*$O$5, 0)</f>
        <v/>
      </c>
      <c r="C29" s="62" t="n"/>
      <c r="D29" s="18" t="n"/>
      <c r="E29" s="22" t="n"/>
      <c r="F29" s="33" t="n"/>
      <c r="G29" s="17" t="n"/>
      <c r="H29" s="63" t="n"/>
      <c r="I29" s="55">
        <f>IF(OR(F29&gt;0,D29&gt;0,E29&gt;0),C29*F29+D29*G29+E29*H29,"")</f>
        <v/>
      </c>
      <c r="J29" s="31" t="n"/>
      <c r="K29" s="56">
        <f>IF(OR(F29&gt;0,G29&gt;0,H29&gt;0),I29-(J29/1000*($R$11/$S$11)+B29),"")</f>
        <v/>
      </c>
      <c r="L29" s="15" t="n"/>
    </row>
    <row r="33" ht="15.75" customHeight="1" s="73">
      <c r="C33" s="10" t="n"/>
      <c r="D33" s="35" t="n"/>
      <c r="E33" s="68" t="n"/>
      <c r="F33" s="20" t="n"/>
      <c r="G33" s="20" t="n"/>
      <c r="H33" s="9" t="n"/>
      <c r="I33" s="9" t="n"/>
      <c r="J33" s="9" t="n"/>
      <c r="K33" s="69" t="n"/>
      <c r="L33" s="36" t="n"/>
      <c r="M33" s="70" t="n"/>
      <c r="N33" s="9" t="n"/>
    </row>
  </sheetData>
  <mergeCells count="1">
    <mergeCell ref="T12:U1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MerFon MRF</dc:creator>
  <dcterms:created xsi:type="dcterms:W3CDTF">2021-11-07T06:51:25Z</dcterms:created>
  <dcterms:modified xsi:type="dcterms:W3CDTF">2023-02-24T08:27:06Z</dcterms:modified>
  <cp:lastModifiedBy>MerFon MRF</cp:lastModifiedBy>
</cp:coreProperties>
</file>